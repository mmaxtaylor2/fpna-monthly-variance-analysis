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" sheetId="1" r:id="rId4"/>
    <sheet state="visible" name="Budget_Import" sheetId="2" r:id="rId5"/>
    <sheet state="visible" name="Budget_Long" sheetId="3" r:id="rId6"/>
    <sheet state="visible" name="Actuals_Long" sheetId="4" r:id="rId7"/>
    <sheet state="visible" name="Variance_Calc" sheetId="5" r:id="rId8"/>
    <sheet state="visible" name="Monthly_Summary" sheetId="6" r:id="rId9"/>
  </sheets>
  <definedNames/>
  <calcPr/>
</workbook>
</file>

<file path=xl/sharedStrings.xml><?xml version="1.0" encoding="utf-8"?>
<sst xmlns="http://schemas.openxmlformats.org/spreadsheetml/2006/main" count="180" uniqueCount="44">
  <si>
    <t xml:space="preserve">Model_Row_Name </t>
  </si>
  <si>
    <t xml:space="preserve">Account </t>
  </si>
  <si>
    <t xml:space="preserve">Category </t>
  </si>
  <si>
    <t xml:space="preserve">Sign </t>
  </si>
  <si>
    <t xml:space="preserve">Subscription Revenue </t>
  </si>
  <si>
    <t xml:space="preserve">Revenue </t>
  </si>
  <si>
    <t xml:space="preserve">Expansion Revenue </t>
  </si>
  <si>
    <t xml:space="preserve">Total Revenue </t>
  </si>
  <si>
    <t xml:space="preserve">COGS </t>
  </si>
  <si>
    <t xml:space="preserve">Sales &amp; Marketing </t>
  </si>
  <si>
    <t xml:space="preserve">Sales &amp; Marketing Expense </t>
  </si>
  <si>
    <t>Opex</t>
  </si>
  <si>
    <t>R&amp;D</t>
  </si>
  <si>
    <t xml:space="preserve">R&amp;D Expense </t>
  </si>
  <si>
    <t>G&amp;A</t>
  </si>
  <si>
    <t xml:space="preserve">G&amp;A Expense </t>
  </si>
  <si>
    <t xml:space="preserve">Opex </t>
  </si>
  <si>
    <t xml:space="preserve">Gross Profit </t>
  </si>
  <si>
    <t xml:space="preserve">EBTIDA </t>
  </si>
  <si>
    <t>EBTIDA</t>
  </si>
  <si>
    <t xml:space="preserve">Month </t>
  </si>
  <si>
    <t xml:space="preserve">Budget_Amount </t>
  </si>
  <si>
    <t>COGS</t>
  </si>
  <si>
    <t xml:space="preserve">Actual_Amount </t>
  </si>
  <si>
    <t>Month</t>
  </si>
  <si>
    <t>Account</t>
  </si>
  <si>
    <t>Budget</t>
  </si>
  <si>
    <t xml:space="preserve">Actual </t>
  </si>
  <si>
    <t xml:space="preserve">$ Variance </t>
  </si>
  <si>
    <t xml:space="preserve">% Variance </t>
  </si>
  <si>
    <t xml:space="preserve">Driver </t>
  </si>
  <si>
    <t xml:space="preserve">Slower new customer acquistion </t>
  </si>
  <si>
    <t xml:space="preserve">Front-loaded growth campaign spend </t>
  </si>
  <si>
    <t>Driven by S&amp;M overspend and revenue miss</t>
  </si>
  <si>
    <t xml:space="preserve">Stronger-than-expected expansion revenue </t>
  </si>
  <si>
    <t xml:space="preserve">Elevated paid acquisiton cost </t>
  </si>
  <si>
    <t xml:space="preserve">Revenue upside partially offset by higher S&amp;M spend </t>
  </si>
  <si>
    <t xml:space="preserve">Softer new-logo conversion </t>
  </si>
  <si>
    <t xml:space="preserve">Continued investment in demand generation </t>
  </si>
  <si>
    <t xml:space="preserve">Unfavorable variance driven by revenue softness and S&amp;M overspend </t>
  </si>
  <si>
    <t xml:space="preserve">Commentary </t>
  </si>
  <si>
    <t xml:space="preserve">Revenue % Variance </t>
  </si>
  <si>
    <t xml:space="preserve">S&amp;M % Variance </t>
  </si>
  <si>
    <t xml:space="preserve">EBTIDA % Variance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</si>
</sst>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1.88"/>
    <col customWidth="1" min="3" max="3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 t="s">
        <v>5</v>
      </c>
      <c r="D2" s="1">
        <v>1.0</v>
      </c>
    </row>
    <row r="3">
      <c r="A3" s="1" t="s">
        <v>6</v>
      </c>
      <c r="B3" s="1" t="s">
        <v>6</v>
      </c>
      <c r="C3" s="1" t="s">
        <v>5</v>
      </c>
      <c r="D3" s="1">
        <v>1.0</v>
      </c>
    </row>
    <row r="4">
      <c r="A4" s="1" t="s">
        <v>7</v>
      </c>
      <c r="B4" s="1" t="s">
        <v>7</v>
      </c>
      <c r="C4" s="1" t="s">
        <v>5</v>
      </c>
      <c r="D4" s="1">
        <v>1.0</v>
      </c>
    </row>
    <row r="5">
      <c r="A5" s="1" t="s">
        <v>8</v>
      </c>
      <c r="B5" s="1" t="s">
        <v>8</v>
      </c>
      <c r="C5" s="1" t="s">
        <v>8</v>
      </c>
      <c r="D5" s="1">
        <v>-1.0</v>
      </c>
    </row>
    <row r="6">
      <c r="A6" s="1" t="s">
        <v>9</v>
      </c>
      <c r="B6" s="1" t="s">
        <v>10</v>
      </c>
      <c r="C6" s="1" t="s">
        <v>11</v>
      </c>
      <c r="D6" s="1">
        <v>-1.0</v>
      </c>
    </row>
    <row r="7">
      <c r="A7" s="1" t="s">
        <v>12</v>
      </c>
      <c r="B7" s="1" t="s">
        <v>13</v>
      </c>
      <c r="C7" s="1" t="s">
        <v>11</v>
      </c>
      <c r="D7" s="1">
        <v>-1.0</v>
      </c>
    </row>
    <row r="8">
      <c r="A8" s="1" t="s">
        <v>14</v>
      </c>
      <c r="B8" s="1" t="s">
        <v>15</v>
      </c>
      <c r="C8" s="1" t="s">
        <v>16</v>
      </c>
      <c r="D8" s="1">
        <v>-1.0</v>
      </c>
    </row>
    <row r="9">
      <c r="A9" s="1" t="s">
        <v>17</v>
      </c>
      <c r="B9" s="1" t="s">
        <v>17</v>
      </c>
      <c r="C9" s="1" t="s">
        <v>17</v>
      </c>
      <c r="D9" s="1">
        <v>1.0</v>
      </c>
    </row>
    <row r="10">
      <c r="A10" s="1" t="s">
        <v>18</v>
      </c>
      <c r="B10" s="1" t="s">
        <v>18</v>
      </c>
      <c r="C10" s="1" t="s">
        <v>19</v>
      </c>
      <c r="D10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2" t="str">
        <f>IFERROR(__xludf.DUMMYFUNCTION("IMPORTRANGE(""https://docs.google.com/spreadsheets/d/18n6vxnIcwhgJ9zdCV0_b5v4IeoBYBlg3uhyGDpm3fnk/edit?gid=1111905003#gid=1111905003"",""Operating Model (P&amp;L)!A34:AL44"")"),"Section F")</f>
        <v>Section F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2" t="str">
        <f>IFERROR(__xludf.DUMMYFUNCTION("""COMPUTED_VALUE"""),"Subscription Revenue ")</f>
        <v>Subscription Revenue </v>
      </c>
      <c r="B2" s="3">
        <f>IFERROR(__xludf.DUMMYFUNCTION("""COMPUTED_VALUE"""),464971.5)</f>
        <v>464971.5</v>
      </c>
      <c r="C2" s="3">
        <f>IFERROR(__xludf.DUMMYFUNCTION("""COMPUTED_VALUE"""),468097.69999999995)</f>
        <v>468097.7</v>
      </c>
      <c r="D2" s="3">
        <f>IFERROR(__xludf.DUMMYFUNCTION("""COMPUTED_VALUE"""),471152.85)</f>
        <v>471152.85</v>
      </c>
      <c r="E2" s="3">
        <f>IFERROR(__xludf.DUMMYFUNCTION("""COMPUTED_VALUE"""),474208.0)</f>
        <v>474208</v>
      </c>
      <c r="F2" s="3">
        <f>IFERROR(__xludf.DUMMYFUNCTION("""COMPUTED_VALUE"""),477192.1)</f>
        <v>477192.1</v>
      </c>
      <c r="G2" s="3">
        <f>IFERROR(__xludf.DUMMYFUNCTION("""COMPUTED_VALUE"""),480034.1)</f>
        <v>480034.1</v>
      </c>
      <c r="H2" s="3">
        <f>IFERROR(__xludf.DUMMYFUNCTION("""COMPUTED_VALUE"""),482855.80000000005)</f>
        <v>482855.8</v>
      </c>
      <c r="I2" s="3">
        <f>IFERROR(__xludf.DUMMYFUNCTION("""COMPUTED_VALUE"""),485576.0)</f>
        <v>485576</v>
      </c>
      <c r="J2" s="3">
        <f>IFERROR(__xludf.DUMMYFUNCTION("""COMPUTED_VALUE"""),488326.65)</f>
        <v>488326.65</v>
      </c>
      <c r="K2" s="3">
        <f>IFERROR(__xludf.DUMMYFUNCTION("""COMPUTED_VALUE"""),490884.44999999995)</f>
        <v>490884.45</v>
      </c>
      <c r="L2" s="3">
        <f>IFERROR(__xludf.DUMMYFUNCTION("""COMPUTED_VALUE"""),493513.30000000005)</f>
        <v>493513.3</v>
      </c>
      <c r="M2" s="3">
        <f>IFERROR(__xludf.DUMMYFUNCTION("""COMPUTED_VALUE"""),496000.05000000005)</f>
        <v>496000.05</v>
      </c>
      <c r="N2" s="3">
        <f>IFERROR(__xludf.DUMMYFUNCTION("""COMPUTED_VALUE"""),498486.80000000005)</f>
        <v>498486.8</v>
      </c>
      <c r="O2" s="3">
        <f>IFERROR(__xludf.DUMMYFUNCTION("""COMPUTED_VALUE"""),500780.69999999995)</f>
        <v>500780.7</v>
      </c>
      <c r="P2" s="3">
        <f>IFERROR(__xludf.DUMMYFUNCTION("""COMPUTED_VALUE"""),503125.35)</f>
        <v>503125.35</v>
      </c>
      <c r="Q2" s="3">
        <f>IFERROR(__xludf.DUMMYFUNCTION("""COMPUTED_VALUE"""),505398.94999999995)</f>
        <v>505398.95</v>
      </c>
      <c r="R2" s="3">
        <f>IFERROR(__xludf.DUMMYFUNCTION("""COMPUTED_VALUE"""),507723.30000000005)</f>
        <v>507723.3</v>
      </c>
      <c r="S2" s="3">
        <f>IFERROR(__xludf.DUMMYFUNCTION("""COMPUTED_VALUE"""),509854.80000000005)</f>
        <v>509854.8</v>
      </c>
      <c r="T2" s="3">
        <f>IFERROR(__xludf.DUMMYFUNCTION("""COMPUTED_VALUE"""),511986.30000000005)</f>
        <v>511986.3</v>
      </c>
      <c r="U2" s="3">
        <f>IFERROR(__xludf.DUMMYFUNCTION("""COMPUTED_VALUE"""),513996.0)</f>
        <v>513996</v>
      </c>
      <c r="V2" s="3">
        <f>IFERROR(__xludf.DUMMYFUNCTION("""COMPUTED_VALUE"""),516056.44999999995)</f>
        <v>516056.45</v>
      </c>
      <c r="W2" s="3">
        <f>IFERROR(__xludf.DUMMYFUNCTION("""COMPUTED_VALUE"""),517974.80000000005)</f>
        <v>517974.8</v>
      </c>
      <c r="X2" s="3">
        <f>IFERROR(__xludf.DUMMYFUNCTION("""COMPUTED_VALUE"""),520014.94999999995)</f>
        <v>520014.95</v>
      </c>
      <c r="Y2" s="3">
        <f>IFERROR(__xludf.DUMMYFUNCTION("""COMPUTED_VALUE"""),521882.55000000005)</f>
        <v>521882.55</v>
      </c>
      <c r="Z2" s="3">
        <f>IFERROR(__xludf.DUMMYFUNCTION("""COMPUTED_VALUE"""),523729.85000000003)</f>
        <v>523729.85</v>
      </c>
      <c r="AA2" s="3">
        <f>IFERROR(__xludf.DUMMYFUNCTION("""COMPUTED_VALUE"""),525556.8500000001)</f>
        <v>525556.85</v>
      </c>
      <c r="AB2" s="3">
        <f>IFERROR(__xludf.DUMMYFUNCTION("""COMPUTED_VALUE"""),527211.3)</f>
        <v>527211.3</v>
      </c>
      <c r="AC2" s="3">
        <f>IFERROR(__xludf.DUMMYFUNCTION("""COMPUTED_VALUE"""),528987.55)</f>
        <v>528987.55</v>
      </c>
      <c r="AD2" s="3">
        <f>IFERROR(__xludf.DUMMYFUNCTION("""COMPUTED_VALUE"""),530743.5)</f>
        <v>530743.5</v>
      </c>
      <c r="AE2" s="3">
        <f>IFERROR(__xludf.DUMMYFUNCTION("""COMPUTED_VALUE"""),532377.6499999999)</f>
        <v>532377.65</v>
      </c>
      <c r="AF2" s="3">
        <f>IFERROR(__xludf.DUMMYFUNCTION("""COMPUTED_VALUE"""),533961.05)</f>
        <v>533961.05</v>
      </c>
      <c r="AG2" s="3">
        <f>IFERROR(__xludf.DUMMYFUNCTION("""COMPUTED_VALUE"""),535524.1499999999)</f>
        <v>535524.15</v>
      </c>
      <c r="AH2" s="3">
        <f>IFERROR(__xludf.DUMMYFUNCTION("""COMPUTED_VALUE"""),537016.2)</f>
        <v>537016.2</v>
      </c>
      <c r="AI2" s="3">
        <f>IFERROR(__xludf.DUMMYFUNCTION("""COMPUTED_VALUE"""),538559.0)</f>
        <v>538559</v>
      </c>
      <c r="AJ2" s="3">
        <f>IFERROR(__xludf.DUMMYFUNCTION("""COMPUTED_VALUE"""),540051.05)</f>
        <v>540051.05</v>
      </c>
      <c r="AK2" s="3">
        <f>IFERROR(__xludf.DUMMYFUNCTION("""COMPUTED_VALUE"""),541421.3)</f>
        <v>541421.3</v>
      </c>
      <c r="AL2" s="3">
        <f>IFERROR(__xludf.DUMMYFUNCTION("""COMPUTED_VALUE"""),542842.3)</f>
        <v>542842.3</v>
      </c>
    </row>
    <row r="3">
      <c r="A3" s="2" t="str">
        <f>IFERROR(__xludf.DUMMYFUNCTION("""COMPUTED_VALUE"""),"Total Revenue ")</f>
        <v>Total Revenue </v>
      </c>
      <c r="B3" s="3">
        <f>IFERROR(__xludf.DUMMYFUNCTION("""COMPUTED_VALUE"""),488220.075)</f>
        <v>488220.075</v>
      </c>
      <c r="C3" s="3">
        <f>IFERROR(__xludf.DUMMYFUNCTION("""COMPUTED_VALUE"""),491502.58499999996)</f>
        <v>491502.585</v>
      </c>
      <c r="D3" s="3">
        <f>IFERROR(__xludf.DUMMYFUNCTION("""COMPUTED_VALUE"""),494710.4925)</f>
        <v>494710.4925</v>
      </c>
      <c r="E3" s="3">
        <f>IFERROR(__xludf.DUMMYFUNCTION("""COMPUTED_VALUE"""),497918.4)</f>
        <v>497918.4</v>
      </c>
      <c r="F3" s="3">
        <f>IFERROR(__xludf.DUMMYFUNCTION("""COMPUTED_VALUE"""),501051.70499999996)</f>
        <v>501051.705</v>
      </c>
      <c r="G3" s="3">
        <f>IFERROR(__xludf.DUMMYFUNCTION("""COMPUTED_VALUE"""),504035.805)</f>
        <v>504035.805</v>
      </c>
      <c r="H3" s="3">
        <f>IFERROR(__xludf.DUMMYFUNCTION("""COMPUTED_VALUE"""),506998.59)</f>
        <v>506998.59</v>
      </c>
      <c r="I3" s="3">
        <f>IFERROR(__xludf.DUMMYFUNCTION("""COMPUTED_VALUE"""),509854.8)</f>
        <v>509854.8</v>
      </c>
      <c r="J3" s="3">
        <f>IFERROR(__xludf.DUMMYFUNCTION("""COMPUTED_VALUE"""),512742.98250000004)</f>
        <v>512742.9825</v>
      </c>
      <c r="K3" s="3">
        <f>IFERROR(__xludf.DUMMYFUNCTION("""COMPUTED_VALUE"""),515428.6724999999)</f>
        <v>515428.6725</v>
      </c>
      <c r="L3" s="3">
        <f>IFERROR(__xludf.DUMMYFUNCTION("""COMPUTED_VALUE"""),518188.965)</f>
        <v>518188.965</v>
      </c>
      <c r="M3" s="3">
        <f>IFERROR(__xludf.DUMMYFUNCTION("""COMPUTED_VALUE"""),520800.05250000005)</f>
        <v>520800.0525</v>
      </c>
      <c r="N3" s="3">
        <f>IFERROR(__xludf.DUMMYFUNCTION("""COMPUTED_VALUE"""),523411.1400000001)</f>
        <v>523411.14</v>
      </c>
      <c r="O3" s="3">
        <f>IFERROR(__xludf.DUMMYFUNCTION("""COMPUTED_VALUE"""),525819.735)</f>
        <v>525819.735</v>
      </c>
      <c r="P3" s="3">
        <f>IFERROR(__xludf.DUMMYFUNCTION("""COMPUTED_VALUE"""),528281.6174999999)</f>
        <v>528281.6175</v>
      </c>
      <c r="Q3" s="3">
        <f>IFERROR(__xludf.DUMMYFUNCTION("""COMPUTED_VALUE"""),530668.8975)</f>
        <v>530668.8975</v>
      </c>
      <c r="R3" s="3">
        <f>IFERROR(__xludf.DUMMYFUNCTION("""COMPUTED_VALUE"""),533109.4650000001)</f>
        <v>533109.465</v>
      </c>
      <c r="S3" s="3">
        <f>IFERROR(__xludf.DUMMYFUNCTION("""COMPUTED_VALUE"""),535347.54)</f>
        <v>535347.54</v>
      </c>
      <c r="T3" s="3">
        <f>IFERROR(__xludf.DUMMYFUNCTION("""COMPUTED_VALUE"""),537585.615)</f>
        <v>537585.615</v>
      </c>
      <c r="U3" s="3">
        <f>IFERROR(__xludf.DUMMYFUNCTION("""COMPUTED_VALUE"""),539695.8)</f>
        <v>539695.8</v>
      </c>
      <c r="V3" s="3">
        <f>IFERROR(__xludf.DUMMYFUNCTION("""COMPUTED_VALUE"""),541859.2725)</f>
        <v>541859.2725</v>
      </c>
      <c r="W3" s="3">
        <f>IFERROR(__xludf.DUMMYFUNCTION("""COMPUTED_VALUE"""),543873.54)</f>
        <v>543873.54</v>
      </c>
      <c r="X3" s="3">
        <f>IFERROR(__xludf.DUMMYFUNCTION("""COMPUTED_VALUE"""),546015.6975)</f>
        <v>546015.6975</v>
      </c>
      <c r="Y3" s="3">
        <f>IFERROR(__xludf.DUMMYFUNCTION("""COMPUTED_VALUE"""),547976.6775)</f>
        <v>547976.6775</v>
      </c>
      <c r="Z3" s="3">
        <f>IFERROR(__xludf.DUMMYFUNCTION("""COMPUTED_VALUE"""),549916.3425)</f>
        <v>549916.3425</v>
      </c>
      <c r="AA3" s="3">
        <f>IFERROR(__xludf.DUMMYFUNCTION("""COMPUTED_VALUE"""),551834.6925000001)</f>
        <v>551834.6925</v>
      </c>
      <c r="AB3" s="3">
        <f>IFERROR(__xludf.DUMMYFUNCTION("""COMPUTED_VALUE"""),553571.865)</f>
        <v>553571.865</v>
      </c>
      <c r="AC3" s="3">
        <f>IFERROR(__xludf.DUMMYFUNCTION("""COMPUTED_VALUE"""),555436.9275)</f>
        <v>555436.9275</v>
      </c>
      <c r="AD3" s="3">
        <f>IFERROR(__xludf.DUMMYFUNCTION("""COMPUTED_VALUE"""),557280.675)</f>
        <v>557280.675</v>
      </c>
      <c r="AE3" s="3">
        <f>IFERROR(__xludf.DUMMYFUNCTION("""COMPUTED_VALUE"""),558996.5324999999)</f>
        <v>558996.5325</v>
      </c>
      <c r="AF3" s="3">
        <f>IFERROR(__xludf.DUMMYFUNCTION("""COMPUTED_VALUE"""),560659.1025)</f>
        <v>560659.1025</v>
      </c>
      <c r="AG3" s="3">
        <f>IFERROR(__xludf.DUMMYFUNCTION("""COMPUTED_VALUE"""),562300.3574999999)</f>
        <v>562300.3575</v>
      </c>
      <c r="AH3" s="3">
        <f>IFERROR(__xludf.DUMMYFUNCTION("""COMPUTED_VALUE"""),563867.01)</f>
        <v>563867.01</v>
      </c>
      <c r="AI3" s="3">
        <f>IFERROR(__xludf.DUMMYFUNCTION("""COMPUTED_VALUE"""),565486.95)</f>
        <v>565486.95</v>
      </c>
      <c r="AJ3" s="3">
        <f>IFERROR(__xludf.DUMMYFUNCTION("""COMPUTED_VALUE"""),567053.6025)</f>
        <v>567053.6025</v>
      </c>
      <c r="AK3" s="3">
        <f>IFERROR(__xludf.DUMMYFUNCTION("""COMPUTED_VALUE"""),568492.365)</f>
        <v>568492.365</v>
      </c>
      <c r="AL3" s="3">
        <f>IFERROR(__xludf.DUMMYFUNCTION("""COMPUTED_VALUE"""),569984.415)</f>
        <v>569984.415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2" t="str">
        <f>IFERROR(__xludf.DUMMYFUNCTION("""COMPUTED_VALUE"""),"Gross Margin ")</f>
        <v>Gross Margin </v>
      </c>
      <c r="B5" s="3">
        <f>IFERROR(__xludf.DUMMYFUNCTION("""COMPUTED_VALUE"""),395225.775)</f>
        <v>395225.775</v>
      </c>
      <c r="C5" s="3">
        <f>IFERROR(__xludf.DUMMYFUNCTION("""COMPUTED_VALUE"""),397883.045)</f>
        <v>397883.045</v>
      </c>
      <c r="D5" s="3">
        <f>IFERROR(__xludf.DUMMYFUNCTION("""COMPUTED_VALUE"""),400479.9225)</f>
        <v>400479.9225</v>
      </c>
      <c r="E5" s="3">
        <f>IFERROR(__xludf.DUMMYFUNCTION("""COMPUTED_VALUE"""),403076.80000000005)</f>
        <v>403076.8</v>
      </c>
      <c r="F5" s="3">
        <f>IFERROR(__xludf.DUMMYFUNCTION("""COMPUTED_VALUE"""),405613.285)</f>
        <v>405613.285</v>
      </c>
      <c r="G5" s="3">
        <f>IFERROR(__xludf.DUMMYFUNCTION("""COMPUTED_VALUE"""),408028.985)</f>
        <v>408028.985</v>
      </c>
      <c r="H5" s="3">
        <f>IFERROR(__xludf.DUMMYFUNCTION("""COMPUTED_VALUE"""),410427.43)</f>
        <v>410427.43</v>
      </c>
      <c r="I5" s="3">
        <f>IFERROR(__xludf.DUMMYFUNCTION("""COMPUTED_VALUE"""),412739.6)</f>
        <v>412739.6</v>
      </c>
      <c r="J5" s="3">
        <f>IFERROR(__xludf.DUMMYFUNCTION("""COMPUTED_VALUE"""),415077.6525)</f>
        <v>415077.6525</v>
      </c>
      <c r="K5" s="3">
        <f>IFERROR(__xludf.DUMMYFUNCTION("""COMPUTED_VALUE"""),417251.7824999999)</f>
        <v>417251.7825</v>
      </c>
      <c r="L5" s="3">
        <f>IFERROR(__xludf.DUMMYFUNCTION("""COMPUTED_VALUE"""),419486.305)</f>
        <v>419486.305</v>
      </c>
      <c r="M5" s="3">
        <f>IFERROR(__xludf.DUMMYFUNCTION("""COMPUTED_VALUE"""),421600.04250000004)</f>
        <v>421600.0425</v>
      </c>
      <c r="N5" s="3">
        <f>IFERROR(__xludf.DUMMYFUNCTION("""COMPUTED_VALUE"""),423713.78)</f>
        <v>423713.78</v>
      </c>
      <c r="O5" s="3">
        <f>IFERROR(__xludf.DUMMYFUNCTION("""COMPUTED_VALUE"""),425663.595)</f>
        <v>425663.595</v>
      </c>
      <c r="P5" s="3">
        <f>IFERROR(__xludf.DUMMYFUNCTION("""COMPUTED_VALUE"""),427656.5474999999)</f>
        <v>427656.5475</v>
      </c>
      <c r="Q5" s="3">
        <f>IFERROR(__xludf.DUMMYFUNCTION("""COMPUTED_VALUE"""),429589.1075)</f>
        <v>429589.1075</v>
      </c>
      <c r="R5" s="3">
        <f>IFERROR(__xludf.DUMMYFUNCTION("""COMPUTED_VALUE"""),431564.80500000005)</f>
        <v>431564.805</v>
      </c>
      <c r="S5" s="3">
        <f>IFERROR(__xludf.DUMMYFUNCTION("""COMPUTED_VALUE"""),433376.58)</f>
        <v>433376.58</v>
      </c>
      <c r="T5" s="3">
        <f>IFERROR(__xludf.DUMMYFUNCTION("""COMPUTED_VALUE"""),435188.355)</f>
        <v>435188.355</v>
      </c>
      <c r="U5" s="3">
        <f>IFERROR(__xludf.DUMMYFUNCTION("""COMPUTED_VALUE"""),436896.60000000003)</f>
        <v>436896.6</v>
      </c>
      <c r="V5" s="3">
        <f>IFERROR(__xludf.DUMMYFUNCTION("""COMPUTED_VALUE"""),438647.9825)</f>
        <v>438647.9825</v>
      </c>
      <c r="W5" s="3">
        <f>IFERROR(__xludf.DUMMYFUNCTION("""COMPUTED_VALUE"""),440278.58)</f>
        <v>440278.58</v>
      </c>
      <c r="X5" s="3">
        <f>IFERROR(__xludf.DUMMYFUNCTION("""COMPUTED_VALUE"""),442012.7075)</f>
        <v>442012.7075</v>
      </c>
      <c r="Y5" s="3">
        <f>IFERROR(__xludf.DUMMYFUNCTION("""COMPUTED_VALUE"""),443600.1675)</f>
        <v>443600.1675</v>
      </c>
      <c r="Z5" s="3">
        <f>IFERROR(__xludf.DUMMYFUNCTION("""COMPUTED_VALUE"""),445170.3725)</f>
        <v>445170.3725</v>
      </c>
      <c r="AA5" s="3">
        <f>IFERROR(__xludf.DUMMYFUNCTION("""COMPUTED_VALUE"""),446723.3225000001)</f>
        <v>446723.3225</v>
      </c>
      <c r="AB5" s="3">
        <f>IFERROR(__xludf.DUMMYFUNCTION("""COMPUTED_VALUE"""),448129.605)</f>
        <v>448129.605</v>
      </c>
      <c r="AC5" s="3">
        <f>IFERROR(__xludf.DUMMYFUNCTION("""COMPUTED_VALUE"""),449639.4175)</f>
        <v>449639.4175</v>
      </c>
      <c r="AD5" s="3">
        <f>IFERROR(__xludf.DUMMYFUNCTION("""COMPUTED_VALUE"""),451131.97500000003)</f>
        <v>451131.975</v>
      </c>
      <c r="AE5" s="3">
        <f>IFERROR(__xludf.DUMMYFUNCTION("""COMPUTED_VALUE"""),452521.0024999999)</f>
        <v>452521.0025</v>
      </c>
      <c r="AF5" s="3">
        <f>IFERROR(__xludf.DUMMYFUNCTION("""COMPUTED_VALUE"""),453866.8925)</f>
        <v>453866.8925</v>
      </c>
      <c r="AG5" s="3">
        <f>IFERROR(__xludf.DUMMYFUNCTION("""COMPUTED_VALUE"""),455195.52749999997)</f>
        <v>455195.5275</v>
      </c>
      <c r="AH5" s="3">
        <f>IFERROR(__xludf.DUMMYFUNCTION("""COMPUTED_VALUE"""),456463.77)</f>
        <v>456463.77</v>
      </c>
      <c r="AI5" s="3">
        <f>IFERROR(__xludf.DUMMYFUNCTION("""COMPUTED_VALUE"""),457775.14999999997)</f>
        <v>457775.15</v>
      </c>
      <c r="AJ5" s="3">
        <f>IFERROR(__xludf.DUMMYFUNCTION("""COMPUTED_VALUE"""),459043.3925)</f>
        <v>459043.3925</v>
      </c>
      <c r="AK5" s="3">
        <f>IFERROR(__xludf.DUMMYFUNCTION("""COMPUTED_VALUE"""),460208.105)</f>
        <v>460208.105</v>
      </c>
      <c r="AL5" s="3">
        <f>IFERROR(__xludf.DUMMYFUNCTION("""COMPUTED_VALUE"""),461415.955)</f>
        <v>461415.955</v>
      </c>
    </row>
    <row r="6">
      <c r="A6" s="2" t="str">
        <f>IFERROR(__xludf.DUMMYFUNCTION("""COMPUTED_VALUE"""),"Gross Margin %")</f>
        <v>Gross Margin %</v>
      </c>
      <c r="B6" s="4">
        <f>IFERROR(__xludf.DUMMYFUNCTION("""COMPUTED_VALUE"""),0.8095238095238095)</f>
        <v>0.8095238095</v>
      </c>
      <c r="C6" s="4">
        <f>IFERROR(__xludf.DUMMYFUNCTION("""COMPUTED_VALUE"""),0.8095238095238095)</f>
        <v>0.8095238095</v>
      </c>
      <c r="D6" s="4">
        <f>IFERROR(__xludf.DUMMYFUNCTION("""COMPUTED_VALUE"""),0.8095238095238095)</f>
        <v>0.8095238095</v>
      </c>
      <c r="E6" s="4">
        <f>IFERROR(__xludf.DUMMYFUNCTION("""COMPUTED_VALUE"""),0.8095238095238095)</f>
        <v>0.8095238095</v>
      </c>
      <c r="F6" s="4">
        <f>IFERROR(__xludf.DUMMYFUNCTION("""COMPUTED_VALUE"""),0.8095238095238095)</f>
        <v>0.8095238095</v>
      </c>
      <c r="G6" s="4">
        <f>IFERROR(__xludf.DUMMYFUNCTION("""COMPUTED_VALUE"""),0.8095238095238095)</f>
        <v>0.8095238095</v>
      </c>
      <c r="H6" s="4">
        <f>IFERROR(__xludf.DUMMYFUNCTION("""COMPUTED_VALUE"""),0.8095238095238094)</f>
        <v>0.8095238095</v>
      </c>
      <c r="I6" s="4">
        <f>IFERROR(__xludf.DUMMYFUNCTION("""COMPUTED_VALUE"""),0.8095238095238095)</f>
        <v>0.8095238095</v>
      </c>
      <c r="J6" s="4">
        <f>IFERROR(__xludf.DUMMYFUNCTION("""COMPUTED_VALUE"""),0.8095238095238095)</f>
        <v>0.8095238095</v>
      </c>
      <c r="K6" s="4">
        <f>IFERROR(__xludf.DUMMYFUNCTION("""COMPUTED_VALUE"""),0.8095238095238094)</f>
        <v>0.8095238095</v>
      </c>
      <c r="L6" s="4">
        <f>IFERROR(__xludf.DUMMYFUNCTION("""COMPUTED_VALUE"""),0.8095238095238094)</f>
        <v>0.8095238095</v>
      </c>
      <c r="M6" s="4">
        <f>IFERROR(__xludf.DUMMYFUNCTION("""COMPUTED_VALUE"""),0.8095238095238095)</f>
        <v>0.8095238095</v>
      </c>
      <c r="N6" s="4">
        <f>IFERROR(__xludf.DUMMYFUNCTION("""COMPUTED_VALUE"""),0.8095238095238094)</f>
        <v>0.8095238095</v>
      </c>
      <c r="O6" s="4">
        <f>IFERROR(__xludf.DUMMYFUNCTION("""COMPUTED_VALUE"""),0.8095238095238095)</f>
        <v>0.8095238095</v>
      </c>
      <c r="P6" s="4">
        <f>IFERROR(__xludf.DUMMYFUNCTION("""COMPUTED_VALUE"""),0.8095238095238095)</f>
        <v>0.8095238095</v>
      </c>
      <c r="Q6" s="4">
        <f>IFERROR(__xludf.DUMMYFUNCTION("""COMPUTED_VALUE"""),0.8095238095238095)</f>
        <v>0.8095238095</v>
      </c>
      <c r="R6" s="4">
        <f>IFERROR(__xludf.DUMMYFUNCTION("""COMPUTED_VALUE"""),0.8095238095238095)</f>
        <v>0.8095238095</v>
      </c>
      <c r="S6" s="4">
        <f>IFERROR(__xludf.DUMMYFUNCTION("""COMPUTED_VALUE"""),0.8095238095238095)</f>
        <v>0.8095238095</v>
      </c>
      <c r="T6" s="4">
        <f>IFERROR(__xludf.DUMMYFUNCTION("""COMPUTED_VALUE"""),0.8095238095238095)</f>
        <v>0.8095238095</v>
      </c>
      <c r="U6" s="4">
        <f>IFERROR(__xludf.DUMMYFUNCTION("""COMPUTED_VALUE"""),0.8095238095238095)</f>
        <v>0.8095238095</v>
      </c>
      <c r="V6" s="4">
        <f>IFERROR(__xludf.DUMMYFUNCTION("""COMPUTED_VALUE"""),0.8095238095238095)</f>
        <v>0.8095238095</v>
      </c>
      <c r="W6" s="4">
        <f>IFERROR(__xludf.DUMMYFUNCTION("""COMPUTED_VALUE"""),0.8095238095238095)</f>
        <v>0.8095238095</v>
      </c>
      <c r="X6" s="4">
        <f>IFERROR(__xludf.DUMMYFUNCTION("""COMPUTED_VALUE"""),0.8095238095238095)</f>
        <v>0.8095238095</v>
      </c>
      <c r="Y6" s="4">
        <f>IFERROR(__xludf.DUMMYFUNCTION("""COMPUTED_VALUE"""),0.8095238095238095)</f>
        <v>0.8095238095</v>
      </c>
      <c r="Z6" s="4">
        <f>IFERROR(__xludf.DUMMYFUNCTION("""COMPUTED_VALUE"""),0.8095238095238094)</f>
        <v>0.8095238095</v>
      </c>
      <c r="AA6" s="4">
        <f>IFERROR(__xludf.DUMMYFUNCTION("""COMPUTED_VALUE"""),0.8095238095238095)</f>
        <v>0.8095238095</v>
      </c>
      <c r="AB6" s="4">
        <f>IFERROR(__xludf.DUMMYFUNCTION("""COMPUTED_VALUE"""),0.8095238095238095)</f>
        <v>0.8095238095</v>
      </c>
      <c r="AC6" s="4">
        <f>IFERROR(__xludf.DUMMYFUNCTION("""COMPUTED_VALUE"""),0.8095238095238095)</f>
        <v>0.8095238095</v>
      </c>
      <c r="AD6" s="4">
        <f>IFERROR(__xludf.DUMMYFUNCTION("""COMPUTED_VALUE"""),0.8095238095238095)</f>
        <v>0.8095238095</v>
      </c>
      <c r="AE6" s="4">
        <f>IFERROR(__xludf.DUMMYFUNCTION("""COMPUTED_VALUE"""),0.8095238095238095)</f>
        <v>0.8095238095</v>
      </c>
      <c r="AF6" s="4">
        <f>IFERROR(__xludf.DUMMYFUNCTION("""COMPUTED_VALUE"""),0.8095238095238095)</f>
        <v>0.8095238095</v>
      </c>
      <c r="AG6" s="4">
        <f>IFERROR(__xludf.DUMMYFUNCTION("""COMPUTED_VALUE"""),0.8095238095238095)</f>
        <v>0.8095238095</v>
      </c>
      <c r="AH6" s="4">
        <f>IFERROR(__xludf.DUMMYFUNCTION("""COMPUTED_VALUE"""),0.8095238095238095)</f>
        <v>0.8095238095</v>
      </c>
      <c r="AI6" s="4">
        <f>IFERROR(__xludf.DUMMYFUNCTION("""COMPUTED_VALUE"""),0.8095238095238095)</f>
        <v>0.8095238095</v>
      </c>
      <c r="AJ6" s="4">
        <f>IFERROR(__xludf.DUMMYFUNCTION("""COMPUTED_VALUE"""),0.8095238095238095)</f>
        <v>0.8095238095</v>
      </c>
      <c r="AK6" s="4">
        <f>IFERROR(__xludf.DUMMYFUNCTION("""COMPUTED_VALUE"""),0.8095238095238095)</f>
        <v>0.8095238095</v>
      </c>
      <c r="AL6" s="4">
        <f>IFERROR(__xludf.DUMMYFUNCTION("""COMPUTED_VALUE"""),0.8095238095238095)</f>
        <v>0.8095238095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2" t="str">
        <f>IFERROR(__xludf.DUMMYFUNCTION("""COMPUTED_VALUE"""),"Operating Income ")</f>
        <v>Operating Income </v>
      </c>
      <c r="B8" s="3">
        <f>IFERROR(__xludf.DUMMYFUNCTION("""COMPUTED_VALUE"""),-648550.855)</f>
        <v>-648550.855</v>
      </c>
      <c r="C8" s="3">
        <f>IFERROR(__xludf.DUMMYFUNCTION("""COMPUTED_VALUE"""),-648457.0689999999)</f>
        <v>-648457.069</v>
      </c>
      <c r="D8" s="3">
        <f>IFERROR(__xludf.DUMMYFUNCTION("""COMPUTED_VALUE"""),-648365.4145000001)</f>
        <v>-648365.4145</v>
      </c>
      <c r="E8" s="3">
        <f>IFERROR(__xludf.DUMMYFUNCTION("""COMPUTED_VALUE"""),-680273.76)</f>
        <v>-680273.76</v>
      </c>
      <c r="F8" s="3">
        <f>IFERROR(__xludf.DUMMYFUNCTION("""COMPUTED_VALUE"""),-680184.237)</f>
        <v>-680184.237</v>
      </c>
      <c r="G8" s="3">
        <f>IFERROR(__xludf.DUMMYFUNCTION("""COMPUTED_VALUE"""),-680098.9770000001)</f>
        <v>-680098.977</v>
      </c>
      <c r="H8" s="3">
        <f>IFERROR(__xludf.DUMMYFUNCTION("""COMPUTED_VALUE"""),-712014.3260000001)</f>
        <v>-712014.326</v>
      </c>
      <c r="I8" s="3">
        <f>IFERROR(__xludf.DUMMYFUNCTION("""COMPUTED_VALUE"""),-711932.7199999999)</f>
        <v>-711932.72</v>
      </c>
      <c r="J8" s="3">
        <f>IFERROR(__xludf.DUMMYFUNCTION("""COMPUTED_VALUE"""),-711850.2005)</f>
        <v>-711850.2005</v>
      </c>
      <c r="K8" s="3">
        <f>IFERROR(__xludf.DUMMYFUNCTION("""COMPUTED_VALUE"""),-743773.4664999999)</f>
        <v>-743773.4665</v>
      </c>
      <c r="L8" s="3">
        <f>IFERROR(__xludf.DUMMYFUNCTION("""COMPUTED_VALUE"""),-743694.601)</f>
        <v>-743694.601</v>
      </c>
      <c r="M8" s="3">
        <f>IFERROR(__xludf.DUMMYFUNCTION("""COMPUTED_VALUE"""),-743619.9985)</f>
        <v>-743619.9985</v>
      </c>
      <c r="N8" s="3">
        <f>IFERROR(__xludf.DUMMYFUNCTION("""COMPUTED_VALUE"""),-754545.396)</f>
        <v>-754545.396</v>
      </c>
      <c r="O8" s="3">
        <f>IFERROR(__xludf.DUMMYFUNCTION("""COMPUTED_VALUE"""),-754476.5789999999)</f>
        <v>-754476.579</v>
      </c>
      <c r="P8" s="3">
        <f>IFERROR(__xludf.DUMMYFUNCTION("""COMPUTED_VALUE"""),-754406.2395000001)</f>
        <v>-754406.2395</v>
      </c>
      <c r="Q8" s="3">
        <f>IFERROR(__xludf.DUMMYFUNCTION("""COMPUTED_VALUE"""),-786338.0315)</f>
        <v>-786338.0315</v>
      </c>
      <c r="R8" s="3">
        <f>IFERROR(__xludf.DUMMYFUNCTION("""COMPUTED_VALUE"""),-786268.3010000001)</f>
        <v>-786268.301</v>
      </c>
      <c r="S8" s="3">
        <f>IFERROR(__xludf.DUMMYFUNCTION("""COMPUTED_VALUE"""),-786204.3559999999)</f>
        <v>-786204.356</v>
      </c>
      <c r="T8" s="3">
        <f>IFERROR(__xludf.DUMMYFUNCTION("""COMPUTED_VALUE"""),-818140.4110000001)</f>
        <v>-818140.411</v>
      </c>
      <c r="U8" s="3">
        <f>IFERROR(__xludf.DUMMYFUNCTION("""COMPUTED_VALUE"""),-818080.1199999999)</f>
        <v>-818080.12</v>
      </c>
      <c r="V8" s="3">
        <f>IFERROR(__xludf.DUMMYFUNCTION("""COMPUTED_VALUE"""),-818018.3065)</f>
        <v>-818018.3065</v>
      </c>
      <c r="W8" s="3">
        <f>IFERROR(__xludf.DUMMYFUNCTION("""COMPUTED_VALUE"""),-849960.756)</f>
        <v>-849960.756</v>
      </c>
      <c r="X8" s="3">
        <f>IFERROR(__xludf.DUMMYFUNCTION("""COMPUTED_VALUE"""),-849899.5515000001)</f>
        <v>-849899.5515</v>
      </c>
      <c r="Y8" s="3">
        <f>IFERROR(__xludf.DUMMYFUNCTION("""COMPUTED_VALUE"""),-849843.5235000001)</f>
        <v>-849843.5235</v>
      </c>
      <c r="Z8" s="3">
        <f>IFERROR(__xludf.DUMMYFUNCTION("""COMPUTED_VALUE"""),-860788.1044999999)</f>
        <v>-860788.1045</v>
      </c>
      <c r="AA8" s="3">
        <f>IFERROR(__xludf.DUMMYFUNCTION("""COMPUTED_VALUE"""),-860733.2945)</f>
        <v>-860733.2945</v>
      </c>
      <c r="AB8" s="3">
        <f>IFERROR(__xludf.DUMMYFUNCTION("""COMPUTED_VALUE"""),-860683.6610000001)</f>
        <v>-860683.661</v>
      </c>
      <c r="AC8" s="3">
        <f>IFERROR(__xludf.DUMMYFUNCTION("""COMPUTED_VALUE"""),-892630.3735)</f>
        <v>-892630.3735</v>
      </c>
      <c r="AD8" s="3">
        <f>IFERROR(__xludf.DUMMYFUNCTION("""COMPUTED_VALUE"""),-892577.6949999998)</f>
        <v>-892577.695</v>
      </c>
      <c r="AE8" s="3">
        <f>IFERROR(__xludf.DUMMYFUNCTION("""COMPUTED_VALUE"""),-892528.6705)</f>
        <v>-892528.6705</v>
      </c>
      <c r="AF8" s="3">
        <f>IFERROR(__xludf.DUMMYFUNCTION("""COMPUTED_VALUE"""),-924481.1684999999)</f>
        <v>-924481.1685</v>
      </c>
      <c r="AG8" s="3">
        <f>IFERROR(__xludf.DUMMYFUNCTION("""COMPUTED_VALUE"""),-924434.2754999999)</f>
        <v>-924434.2755</v>
      </c>
      <c r="AH8" s="3">
        <f>IFERROR(__xludf.DUMMYFUNCTION("""COMPUTED_VALUE"""),-924389.514)</f>
        <v>-924389.514</v>
      </c>
      <c r="AI8" s="3">
        <f>IFERROR(__xludf.DUMMYFUNCTION("""COMPUTED_VALUE"""),-956343.23)</f>
        <v>-956343.23</v>
      </c>
      <c r="AJ8" s="3">
        <f>IFERROR(__xludf.DUMMYFUNCTION("""COMPUTED_VALUE"""),-956298.4685)</f>
        <v>-956298.4685</v>
      </c>
      <c r="AK8" s="3">
        <f>IFERROR(__xludf.DUMMYFUNCTION("""COMPUTED_VALUE"""),-956257.361)</f>
        <v>-956257.361</v>
      </c>
      <c r="AL8" s="3">
        <f>IFERROR(__xludf.DUMMYFUNCTION("""COMPUTED_VALUE"""),-967214.7309999999)</f>
        <v>-967214.731</v>
      </c>
    </row>
    <row r="9">
      <c r="A9" s="2" t="str">
        <f>IFERROR(__xludf.DUMMYFUNCTION("""COMPUTED_VALUE"""),"Operating Margin %")</f>
        <v>Operating Margin %</v>
      </c>
      <c r="B9" s="4">
        <f>IFERROR(__xludf.DUMMYFUNCTION("""COMPUTED_VALUE"""),-1.3283985813160182)</f>
        <v>-1.328398581</v>
      </c>
      <c r="C9" s="4">
        <f>IFERROR(__xludf.DUMMYFUNCTION("""COMPUTED_VALUE"""),-1.319336029534819)</f>
        <v>-1.31933603</v>
      </c>
      <c r="D9" s="4">
        <f>IFERROR(__xludf.DUMMYFUNCTION("""COMPUTED_VALUE"""),-1.3105956399337944)</f>
        <v>-1.31059564</v>
      </c>
      <c r="E9" s="4">
        <f>IFERROR(__xludf.DUMMYFUNCTION("""COMPUTED_VALUE"""),-1.3662354313477871)</f>
        <v>-1.366235431</v>
      </c>
      <c r="F9" s="4">
        <f>IFERROR(__xludf.DUMMYFUNCTION("""COMPUTED_VALUE"""),-1.3575130674388185)</f>
        <v>-1.357513067</v>
      </c>
      <c r="G9" s="4">
        <f>IFERROR(__xludf.DUMMYFUNCTION("""COMPUTED_VALUE"""),-1.349306875133603)</f>
        <v>-1.349306875</v>
      </c>
      <c r="H9" s="4">
        <f>IFERROR(__xludf.DUMMYFUNCTION("""COMPUTED_VALUE"""),-1.4043714125516602)</f>
        <v>-1.404371413</v>
      </c>
      <c r="I9" s="4">
        <f>IFERROR(__xludf.DUMMYFUNCTION("""COMPUTED_VALUE"""),-1.3963440571707864)</f>
        <v>-1.396344057</v>
      </c>
      <c r="J9" s="4">
        <f>IFERROR(__xludf.DUMMYFUNCTION("""COMPUTED_VALUE"""),-1.388317782584182)</f>
        <v>-1.388317783</v>
      </c>
      <c r="K9" s="4">
        <f>IFERROR(__xludf.DUMMYFUNCTION("""COMPUTED_VALUE"""),-1.4430191919523063)</f>
        <v>-1.443019192</v>
      </c>
      <c r="L9" s="4">
        <f>IFERROR(__xludf.DUMMYFUNCTION("""COMPUTED_VALUE"""),-1.4351803130350334)</f>
        <v>-1.435180313</v>
      </c>
      <c r="M9" s="4">
        <f>IFERROR(__xludf.DUMMYFUNCTION("""COMPUTED_VALUE"""),-1.4278416350582068)</f>
        <v>-1.427841635</v>
      </c>
      <c r="N9" s="4">
        <f>IFERROR(__xludf.DUMMYFUNCTION("""COMPUTED_VALUE"""),-1.4415921602279995)</f>
        <v>-1.44159216</v>
      </c>
      <c r="O9" s="4">
        <f>IFERROR(__xludf.DUMMYFUNCTION("""COMPUTED_VALUE"""),-1.4348578586537835)</f>
        <v>-1.434857859</v>
      </c>
      <c r="P9" s="4">
        <f>IFERROR(__xludf.DUMMYFUNCTION("""COMPUTED_VALUE"""),-1.428038028410103)</f>
        <v>-1.428038028</v>
      </c>
      <c r="Q9" s="4">
        <f>IFERROR(__xludf.DUMMYFUNCTION("""COMPUTED_VALUE"""),-1.4817865437459525)</f>
        <v>-1.481786544</v>
      </c>
      <c r="R9" s="4">
        <f>IFERROR(__xludf.DUMMYFUNCTION("""COMPUTED_VALUE"""),-1.4748721465674972)</f>
        <v>-1.474872147</v>
      </c>
      <c r="S9" s="4">
        <f>IFERROR(__xludf.DUMMYFUNCTION("""COMPUTED_VALUE"""),-1.4685868473403274)</f>
        <v>-1.468586847</v>
      </c>
      <c r="T9" s="4">
        <f>IFERROR(__xludf.DUMMYFUNCTION("""COMPUTED_VALUE"""),-1.521879284288513)</f>
        <v>-1.521879284</v>
      </c>
      <c r="U9" s="4">
        <f>IFERROR(__xludf.DUMMYFUNCTION("""COMPUTED_VALUE"""),-1.5158170954823065)</f>
        <v>-1.515817095</v>
      </c>
      <c r="V9" s="4">
        <f>IFERROR(__xludf.DUMMYFUNCTION("""COMPUTED_VALUE"""),-1.5096508411231442)</f>
        <v>-1.509650841</v>
      </c>
      <c r="W9" s="4">
        <f>IFERROR(__xludf.DUMMYFUNCTION("""COMPUTED_VALUE"""),-1.5627911517813498)</f>
        <v>-1.562791152</v>
      </c>
      <c r="X9" s="4">
        <f>IFERROR(__xludf.DUMMYFUNCTION("""COMPUTED_VALUE"""),-1.5565478344145958)</f>
        <v>-1.556547834</v>
      </c>
      <c r="Y9" s="4">
        <f>IFERROR(__xludf.DUMMYFUNCTION("""COMPUTED_VALUE"""),-1.550875353632181)</f>
        <v>-1.550875354</v>
      </c>
      <c r="Z9" s="4">
        <f>IFERROR(__xludf.DUMMYFUNCTION("""COMPUTED_VALUE"""),-1.5653073712752952)</f>
        <v>-1.565307371</v>
      </c>
      <c r="AA9" s="4">
        <f>IFERROR(__xludf.DUMMYFUNCTION("""COMPUTED_VALUE"""),-1.5597665500162439)</f>
        <v>-1.55976655</v>
      </c>
      <c r="AB9" s="4">
        <f>IFERROR(__xludf.DUMMYFUNCTION("""COMPUTED_VALUE"""),-1.5547821618427087)</f>
        <v>-1.554782162</v>
      </c>
      <c r="AC9" s="4">
        <f>IFERROR(__xludf.DUMMYFUNCTION("""COMPUTED_VALUE"""),-1.6070778324330983)</f>
        <v>-1.607077832</v>
      </c>
      <c r="AD9" s="4">
        <f>IFERROR(__xludf.DUMMYFUNCTION("""COMPUTED_VALUE"""),-1.6016663326787706)</f>
        <v>-1.601666333</v>
      </c>
      <c r="AE9" s="4">
        <f>IFERROR(__xludf.DUMMYFUNCTION("""COMPUTED_VALUE"""),-1.5966622664157586)</f>
        <v>-1.596662266</v>
      </c>
      <c r="AF9" s="4">
        <f>IFERROR(__xludf.DUMMYFUNCTION("""COMPUTED_VALUE"""),-1.648918503913882)</f>
        <v>-1.648918504</v>
      </c>
      <c r="AG9" s="4">
        <f>IFERROR(__xludf.DUMMYFUNCTION("""COMPUTED_VALUE"""),-1.6440222083621918)</f>
        <v>-1.644022208</v>
      </c>
      <c r="AH9" s="4">
        <f>IFERROR(__xludf.DUMMYFUNCTION("""COMPUTED_VALUE"""),-1.6393750611513873)</f>
        <v>-1.639375061</v>
      </c>
      <c r="AI9" s="4">
        <f>IFERROR(__xludf.DUMMYFUNCTION("""COMPUTED_VALUE"""),-1.6911853226674816)</f>
        <v>-1.691185323</v>
      </c>
      <c r="AJ9" s="4">
        <f>IFERROR(__xludf.DUMMYFUNCTION("""COMPUTED_VALUE"""),-1.6864339883988302)</f>
        <v>-1.686433988</v>
      </c>
      <c r="AK9" s="4">
        <f>IFERROR(__xludf.DUMMYFUNCTION("""COMPUTED_VALUE"""),-1.6820935862524733)</f>
        <v>-1.682093586</v>
      </c>
      <c r="AL9" s="4">
        <f>IFERROR(__xludf.DUMMYFUNCTION("""COMPUTED_VALUE"""),-1.6969143463334868)</f>
        <v>-1.696914346</v>
      </c>
    </row>
    <row r="10">
      <c r="A10" s="2" t="str">
        <f>IFERROR(__xludf.DUMMYFUNCTION("""COMPUTED_VALUE"""),"EBTIDA")</f>
        <v>EBTIDA</v>
      </c>
      <c r="B10" s="3">
        <f>IFERROR(__xludf.DUMMYFUNCTION("""COMPUTED_VALUE"""),-648550.855)</f>
        <v>-648550.855</v>
      </c>
      <c r="C10" s="3">
        <f>IFERROR(__xludf.DUMMYFUNCTION("""COMPUTED_VALUE"""),-648457.0689999999)</f>
        <v>-648457.069</v>
      </c>
      <c r="D10" s="3">
        <f>IFERROR(__xludf.DUMMYFUNCTION("""COMPUTED_VALUE"""),-648365.4145000001)</f>
        <v>-648365.4145</v>
      </c>
      <c r="E10" s="3">
        <f>IFERROR(__xludf.DUMMYFUNCTION("""COMPUTED_VALUE"""),-680273.76)</f>
        <v>-680273.76</v>
      </c>
      <c r="F10" s="3">
        <f>IFERROR(__xludf.DUMMYFUNCTION("""COMPUTED_VALUE"""),-680184.237)</f>
        <v>-680184.237</v>
      </c>
      <c r="G10" s="3">
        <f>IFERROR(__xludf.DUMMYFUNCTION("""COMPUTED_VALUE"""),-680098.9770000001)</f>
        <v>-680098.977</v>
      </c>
      <c r="H10" s="3">
        <f>IFERROR(__xludf.DUMMYFUNCTION("""COMPUTED_VALUE"""),-712014.3260000001)</f>
        <v>-712014.326</v>
      </c>
      <c r="I10" s="3">
        <f>IFERROR(__xludf.DUMMYFUNCTION("""COMPUTED_VALUE"""),-711932.7199999999)</f>
        <v>-711932.72</v>
      </c>
      <c r="J10" s="3">
        <f>IFERROR(__xludf.DUMMYFUNCTION("""COMPUTED_VALUE"""),-711850.2005)</f>
        <v>-711850.2005</v>
      </c>
      <c r="K10" s="3">
        <f>IFERROR(__xludf.DUMMYFUNCTION("""COMPUTED_VALUE"""),-743773.4664999999)</f>
        <v>-743773.4665</v>
      </c>
      <c r="L10" s="3">
        <f>IFERROR(__xludf.DUMMYFUNCTION("""COMPUTED_VALUE"""),-743694.601)</f>
        <v>-743694.601</v>
      </c>
      <c r="M10" s="3">
        <f>IFERROR(__xludf.DUMMYFUNCTION("""COMPUTED_VALUE"""),-743619.9985)</f>
        <v>-743619.9985</v>
      </c>
      <c r="N10" s="3">
        <f>IFERROR(__xludf.DUMMYFUNCTION("""COMPUTED_VALUE"""),-754545.396)</f>
        <v>-754545.396</v>
      </c>
      <c r="O10" s="3">
        <f>IFERROR(__xludf.DUMMYFUNCTION("""COMPUTED_VALUE"""),-754476.5789999999)</f>
        <v>-754476.579</v>
      </c>
      <c r="P10" s="3">
        <f>IFERROR(__xludf.DUMMYFUNCTION("""COMPUTED_VALUE"""),-754406.2395000001)</f>
        <v>-754406.2395</v>
      </c>
      <c r="Q10" s="3">
        <f>IFERROR(__xludf.DUMMYFUNCTION("""COMPUTED_VALUE"""),-786338.0315)</f>
        <v>-786338.0315</v>
      </c>
      <c r="R10" s="3">
        <f>IFERROR(__xludf.DUMMYFUNCTION("""COMPUTED_VALUE"""),-786268.3010000001)</f>
        <v>-786268.301</v>
      </c>
      <c r="S10" s="3">
        <f>IFERROR(__xludf.DUMMYFUNCTION("""COMPUTED_VALUE"""),-786204.3559999999)</f>
        <v>-786204.356</v>
      </c>
      <c r="T10" s="3">
        <f>IFERROR(__xludf.DUMMYFUNCTION("""COMPUTED_VALUE"""),-818140.4110000001)</f>
        <v>-818140.411</v>
      </c>
      <c r="U10" s="3">
        <f>IFERROR(__xludf.DUMMYFUNCTION("""COMPUTED_VALUE"""),-818080.1199999999)</f>
        <v>-818080.12</v>
      </c>
      <c r="V10" s="3">
        <f>IFERROR(__xludf.DUMMYFUNCTION("""COMPUTED_VALUE"""),-818018.3065)</f>
        <v>-818018.3065</v>
      </c>
      <c r="W10" s="3">
        <f>IFERROR(__xludf.DUMMYFUNCTION("""COMPUTED_VALUE"""),-849960.756)</f>
        <v>-849960.756</v>
      </c>
      <c r="X10" s="3">
        <f>IFERROR(__xludf.DUMMYFUNCTION("""COMPUTED_VALUE"""),-849899.5515000001)</f>
        <v>-849899.5515</v>
      </c>
      <c r="Y10" s="3">
        <f>IFERROR(__xludf.DUMMYFUNCTION("""COMPUTED_VALUE"""),-849843.5235000001)</f>
        <v>-849843.5235</v>
      </c>
      <c r="Z10" s="3">
        <f>IFERROR(__xludf.DUMMYFUNCTION("""COMPUTED_VALUE"""),-860788.1044999999)</f>
        <v>-860788.1045</v>
      </c>
      <c r="AA10" s="3">
        <f>IFERROR(__xludf.DUMMYFUNCTION("""COMPUTED_VALUE"""),-860733.2945)</f>
        <v>-860733.2945</v>
      </c>
      <c r="AB10" s="3">
        <f>IFERROR(__xludf.DUMMYFUNCTION("""COMPUTED_VALUE"""),-860683.6610000001)</f>
        <v>-860683.661</v>
      </c>
      <c r="AC10" s="3">
        <f>IFERROR(__xludf.DUMMYFUNCTION("""COMPUTED_VALUE"""),-892630.3735)</f>
        <v>-892630.3735</v>
      </c>
      <c r="AD10" s="3">
        <f>IFERROR(__xludf.DUMMYFUNCTION("""COMPUTED_VALUE"""),-892577.6949999998)</f>
        <v>-892577.695</v>
      </c>
      <c r="AE10" s="3">
        <f>IFERROR(__xludf.DUMMYFUNCTION("""COMPUTED_VALUE"""),-892528.6705)</f>
        <v>-892528.6705</v>
      </c>
      <c r="AF10" s="3">
        <f>IFERROR(__xludf.DUMMYFUNCTION("""COMPUTED_VALUE"""),-924481.1684999999)</f>
        <v>-924481.1685</v>
      </c>
      <c r="AG10" s="3">
        <f>IFERROR(__xludf.DUMMYFUNCTION("""COMPUTED_VALUE"""),-924434.2754999999)</f>
        <v>-924434.2755</v>
      </c>
      <c r="AH10" s="3">
        <f>IFERROR(__xludf.DUMMYFUNCTION("""COMPUTED_VALUE"""),-924389.514)</f>
        <v>-924389.514</v>
      </c>
      <c r="AI10" s="3">
        <f>IFERROR(__xludf.DUMMYFUNCTION("""COMPUTED_VALUE"""),-956343.23)</f>
        <v>-956343.23</v>
      </c>
      <c r="AJ10" s="3">
        <f>IFERROR(__xludf.DUMMYFUNCTION("""COMPUTED_VALUE"""),-956298.4685)</f>
        <v>-956298.4685</v>
      </c>
      <c r="AK10" s="3">
        <f>IFERROR(__xludf.DUMMYFUNCTION("""COMPUTED_VALUE"""),-956257.361)</f>
        <v>-956257.361</v>
      </c>
      <c r="AL10" s="3">
        <f>IFERROR(__xludf.DUMMYFUNCTION("""COMPUTED_VALUE"""),-967214.7309999999)</f>
        <v>-967214.731</v>
      </c>
    </row>
    <row r="11">
      <c r="A11" s="2" t="str">
        <f>IFERROR(__xludf.DUMMYFUNCTION("""COMPUTED_VALUE"""),"EBTIDA Margin %")</f>
        <v>EBTIDA Margin %</v>
      </c>
      <c r="B11" s="4">
        <f>IFERROR(__xludf.DUMMYFUNCTION("""COMPUTED_VALUE"""),-1.3283985813160182)</f>
        <v>-1.328398581</v>
      </c>
      <c r="C11" s="4">
        <f>IFERROR(__xludf.DUMMYFUNCTION("""COMPUTED_VALUE"""),-1.319336029534819)</f>
        <v>-1.31933603</v>
      </c>
      <c r="D11" s="4">
        <f>IFERROR(__xludf.DUMMYFUNCTION("""COMPUTED_VALUE"""),-1.3105956399337944)</f>
        <v>-1.31059564</v>
      </c>
      <c r="E11" s="4">
        <f>IFERROR(__xludf.DUMMYFUNCTION("""COMPUTED_VALUE"""),-1.3662354313477871)</f>
        <v>-1.366235431</v>
      </c>
      <c r="F11" s="4">
        <f>IFERROR(__xludf.DUMMYFUNCTION("""COMPUTED_VALUE"""),-1.3575130674388185)</f>
        <v>-1.357513067</v>
      </c>
      <c r="G11" s="4">
        <f>IFERROR(__xludf.DUMMYFUNCTION("""COMPUTED_VALUE"""),-1.349306875133603)</f>
        <v>-1.349306875</v>
      </c>
      <c r="H11" s="4">
        <f>IFERROR(__xludf.DUMMYFUNCTION("""COMPUTED_VALUE"""),-1.4043714125516602)</f>
        <v>-1.404371413</v>
      </c>
      <c r="I11" s="4">
        <f>IFERROR(__xludf.DUMMYFUNCTION("""COMPUTED_VALUE"""),-1.3963440571707864)</f>
        <v>-1.396344057</v>
      </c>
      <c r="J11" s="4">
        <f>IFERROR(__xludf.DUMMYFUNCTION("""COMPUTED_VALUE"""),-1.388317782584182)</f>
        <v>-1.388317783</v>
      </c>
      <c r="K11" s="4">
        <f>IFERROR(__xludf.DUMMYFUNCTION("""COMPUTED_VALUE"""),-1.4430191919523063)</f>
        <v>-1.443019192</v>
      </c>
      <c r="L11" s="4">
        <f>IFERROR(__xludf.DUMMYFUNCTION("""COMPUTED_VALUE"""),-1.4351803130350334)</f>
        <v>-1.435180313</v>
      </c>
      <c r="M11" s="4">
        <f>IFERROR(__xludf.DUMMYFUNCTION("""COMPUTED_VALUE"""),-1.4278416350582068)</f>
        <v>-1.427841635</v>
      </c>
      <c r="N11" s="4">
        <f>IFERROR(__xludf.DUMMYFUNCTION("""COMPUTED_VALUE"""),-1.4415921602279995)</f>
        <v>-1.44159216</v>
      </c>
      <c r="O11" s="4">
        <f>IFERROR(__xludf.DUMMYFUNCTION("""COMPUTED_VALUE"""),-1.4348578586537835)</f>
        <v>-1.434857859</v>
      </c>
      <c r="P11" s="4">
        <f>IFERROR(__xludf.DUMMYFUNCTION("""COMPUTED_VALUE"""),-1.428038028410103)</f>
        <v>-1.428038028</v>
      </c>
      <c r="Q11" s="4">
        <f>IFERROR(__xludf.DUMMYFUNCTION("""COMPUTED_VALUE"""),-1.4817865437459525)</f>
        <v>-1.481786544</v>
      </c>
      <c r="R11" s="4">
        <f>IFERROR(__xludf.DUMMYFUNCTION("""COMPUTED_VALUE"""),-1.4748721465674972)</f>
        <v>-1.474872147</v>
      </c>
      <c r="S11" s="4">
        <f>IFERROR(__xludf.DUMMYFUNCTION("""COMPUTED_VALUE"""),-1.4685868473403274)</f>
        <v>-1.468586847</v>
      </c>
      <c r="T11" s="4">
        <f>IFERROR(__xludf.DUMMYFUNCTION("""COMPUTED_VALUE"""),-1.521879284288513)</f>
        <v>-1.521879284</v>
      </c>
      <c r="U11" s="4">
        <f>IFERROR(__xludf.DUMMYFUNCTION("""COMPUTED_VALUE"""),-1.5158170954823065)</f>
        <v>-1.515817095</v>
      </c>
      <c r="V11" s="4">
        <f>IFERROR(__xludf.DUMMYFUNCTION("""COMPUTED_VALUE"""),-1.5096508411231442)</f>
        <v>-1.509650841</v>
      </c>
      <c r="W11" s="4">
        <f>IFERROR(__xludf.DUMMYFUNCTION("""COMPUTED_VALUE"""),-1.5627911517813498)</f>
        <v>-1.562791152</v>
      </c>
      <c r="X11" s="4">
        <f>IFERROR(__xludf.DUMMYFUNCTION("""COMPUTED_VALUE"""),-1.5565478344145958)</f>
        <v>-1.556547834</v>
      </c>
      <c r="Y11" s="4">
        <f>IFERROR(__xludf.DUMMYFUNCTION("""COMPUTED_VALUE"""),-1.550875353632181)</f>
        <v>-1.550875354</v>
      </c>
      <c r="Z11" s="4">
        <f>IFERROR(__xludf.DUMMYFUNCTION("""COMPUTED_VALUE"""),-1.5653073712752952)</f>
        <v>-1.565307371</v>
      </c>
      <c r="AA11" s="4">
        <f>IFERROR(__xludf.DUMMYFUNCTION("""COMPUTED_VALUE"""),-1.5597665500162439)</f>
        <v>-1.55976655</v>
      </c>
      <c r="AB11" s="4">
        <f>IFERROR(__xludf.DUMMYFUNCTION("""COMPUTED_VALUE"""),-1.5547821618427087)</f>
        <v>-1.554782162</v>
      </c>
      <c r="AC11" s="4">
        <f>IFERROR(__xludf.DUMMYFUNCTION("""COMPUTED_VALUE"""),-1.6070778324330983)</f>
        <v>-1.607077832</v>
      </c>
      <c r="AD11" s="4">
        <f>IFERROR(__xludf.DUMMYFUNCTION("""COMPUTED_VALUE"""),-1.6016663326787706)</f>
        <v>-1.601666333</v>
      </c>
      <c r="AE11" s="4">
        <f>IFERROR(__xludf.DUMMYFUNCTION("""COMPUTED_VALUE"""),-1.5966622664157586)</f>
        <v>-1.596662266</v>
      </c>
      <c r="AF11" s="4">
        <f>IFERROR(__xludf.DUMMYFUNCTION("""COMPUTED_VALUE"""),-1.648918503913882)</f>
        <v>-1.648918504</v>
      </c>
      <c r="AG11" s="4">
        <f>IFERROR(__xludf.DUMMYFUNCTION("""COMPUTED_VALUE"""),-1.6440222083621918)</f>
        <v>-1.644022208</v>
      </c>
      <c r="AH11" s="4">
        <f>IFERROR(__xludf.DUMMYFUNCTION("""COMPUTED_VALUE"""),-1.6393750611513873)</f>
        <v>-1.639375061</v>
      </c>
      <c r="AI11" s="4">
        <f>IFERROR(__xludf.DUMMYFUNCTION("""COMPUTED_VALUE"""),-1.6911853226674816)</f>
        <v>-1.691185323</v>
      </c>
      <c r="AJ11" s="4">
        <f>IFERROR(__xludf.DUMMYFUNCTION("""COMPUTED_VALUE"""),-1.6864339883988302)</f>
        <v>-1.686433988</v>
      </c>
      <c r="AK11" s="4">
        <f>IFERROR(__xludf.DUMMYFUNCTION("""COMPUTED_VALUE"""),-1.6820935862524733)</f>
        <v>-1.682093586</v>
      </c>
      <c r="AL11" s="4">
        <f>IFERROR(__xludf.DUMMYFUNCTION("""COMPUTED_VALUE"""),-1.6969143463334868)</f>
        <v>-1.696914346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13.38"/>
  </cols>
  <sheetData>
    <row r="1">
      <c r="A1" s="1" t="s">
        <v>20</v>
      </c>
      <c r="B1" s="1" t="s">
        <v>1</v>
      </c>
      <c r="C1" s="1" t="s">
        <v>2</v>
      </c>
      <c r="D1" s="1" t="s">
        <v>21</v>
      </c>
    </row>
    <row r="2">
      <c r="A2" s="5">
        <v>45658.0</v>
      </c>
      <c r="B2" s="1" t="s">
        <v>4</v>
      </c>
      <c r="C2" s="1" t="s">
        <v>5</v>
      </c>
      <c r="D2" s="6">
        <v>456923.0</v>
      </c>
    </row>
    <row r="3">
      <c r="A3" s="5">
        <v>45659.0</v>
      </c>
      <c r="B3" s="1" t="s">
        <v>22</v>
      </c>
      <c r="C3" s="1" t="s">
        <v>22</v>
      </c>
      <c r="D3" s="6">
        <v>-91385.0</v>
      </c>
    </row>
    <row r="4">
      <c r="A4" s="5">
        <v>45660.0</v>
      </c>
      <c r="B4" s="1" t="s">
        <v>10</v>
      </c>
      <c r="C4" s="1" t="s">
        <v>16</v>
      </c>
      <c r="D4" s="6">
        <v>-159923.0</v>
      </c>
    </row>
    <row r="5">
      <c r="A5" s="5">
        <v>45661.0</v>
      </c>
      <c r="B5" s="1" t="s">
        <v>13</v>
      </c>
      <c r="C5" s="1" t="s">
        <v>16</v>
      </c>
      <c r="D5" s="6">
        <v>-68538.0</v>
      </c>
    </row>
    <row r="6">
      <c r="A6" s="5">
        <v>45662.0</v>
      </c>
      <c r="B6" s="1" t="s">
        <v>15</v>
      </c>
      <c r="C6" s="1" t="s">
        <v>16</v>
      </c>
      <c r="D6" s="6">
        <v>-54831.0</v>
      </c>
    </row>
    <row r="7">
      <c r="A7" s="5">
        <v>45663.0</v>
      </c>
      <c r="B7" s="1" t="s">
        <v>18</v>
      </c>
      <c r="C7" s="1" t="s">
        <v>16</v>
      </c>
      <c r="D7" s="6">
        <v>-648792.0</v>
      </c>
    </row>
    <row r="8">
      <c r="A8" s="5">
        <v>45689.0</v>
      </c>
      <c r="B8" s="1" t="s">
        <v>4</v>
      </c>
      <c r="C8" s="1" t="s">
        <v>5</v>
      </c>
      <c r="D8" s="6">
        <v>452111.0</v>
      </c>
    </row>
    <row r="9">
      <c r="A9" s="5">
        <v>45690.0</v>
      </c>
      <c r="B9" s="1" t="s">
        <v>22</v>
      </c>
      <c r="C9" s="1" t="s">
        <v>22</v>
      </c>
      <c r="D9" s="6">
        <v>-90422.0</v>
      </c>
    </row>
    <row r="10">
      <c r="A10" s="5">
        <v>45691.0</v>
      </c>
      <c r="B10" s="1" t="s">
        <v>10</v>
      </c>
      <c r="C10" s="1" t="s">
        <v>16</v>
      </c>
      <c r="D10" s="6">
        <v>-158239.0</v>
      </c>
    </row>
    <row r="11">
      <c r="A11" s="5">
        <v>45692.0</v>
      </c>
      <c r="B11" s="1" t="s">
        <v>13</v>
      </c>
      <c r="C11" s="1" t="s">
        <v>16</v>
      </c>
      <c r="D11" s="6">
        <v>-67817.0</v>
      </c>
    </row>
    <row r="12">
      <c r="A12" s="5">
        <v>45693.0</v>
      </c>
      <c r="B12" s="1" t="s">
        <v>15</v>
      </c>
      <c r="C12" s="1" t="s">
        <v>16</v>
      </c>
      <c r="D12" s="6">
        <v>-54253.0</v>
      </c>
    </row>
    <row r="13">
      <c r="A13" s="5">
        <v>45694.0</v>
      </c>
      <c r="B13" s="1" t="s">
        <v>18</v>
      </c>
      <c r="C13" s="1" t="s">
        <v>16</v>
      </c>
      <c r="D13" s="6">
        <v>-648937.0</v>
      </c>
    </row>
    <row r="14">
      <c r="A14" s="5">
        <v>45717.0</v>
      </c>
      <c r="B14" s="1" t="s">
        <v>4</v>
      </c>
      <c r="C14" s="1" t="s">
        <v>5</v>
      </c>
      <c r="D14" s="6">
        <v>447686.0</v>
      </c>
    </row>
    <row r="15">
      <c r="A15" s="5">
        <v>45718.0</v>
      </c>
      <c r="B15" s="1" t="s">
        <v>22</v>
      </c>
      <c r="C15" s="1" t="s">
        <v>22</v>
      </c>
      <c r="D15" s="6">
        <v>-89537.0</v>
      </c>
    </row>
    <row r="16">
      <c r="A16" s="5">
        <v>45719.0</v>
      </c>
      <c r="B16" s="1" t="s">
        <v>10</v>
      </c>
      <c r="C16" s="1" t="s">
        <v>16</v>
      </c>
      <c r="D16" s="6">
        <v>-156690.0</v>
      </c>
    </row>
    <row r="17">
      <c r="A17" s="5">
        <v>45720.0</v>
      </c>
      <c r="B17" s="1" t="s">
        <v>13</v>
      </c>
      <c r="C17" s="1" t="s">
        <v>16</v>
      </c>
      <c r="D17" s="6">
        <v>-67153.0</v>
      </c>
    </row>
    <row r="18">
      <c r="A18" s="5">
        <v>45721.0</v>
      </c>
      <c r="B18" s="1" t="s">
        <v>15</v>
      </c>
      <c r="C18" s="1" t="s">
        <v>16</v>
      </c>
      <c r="D18" s="6">
        <v>-53722.0</v>
      </c>
    </row>
    <row r="19">
      <c r="A19" s="5">
        <v>45722.0</v>
      </c>
      <c r="B19" s="1" t="s">
        <v>18</v>
      </c>
      <c r="C19" s="1" t="s">
        <v>16</v>
      </c>
      <c r="D19" s="6">
        <v>-649069.0</v>
      </c>
    </row>
    <row r="20">
      <c r="A20" s="5">
        <v>45748.0</v>
      </c>
      <c r="B20" s="1" t="s">
        <v>4</v>
      </c>
      <c r="C20" s="1" t="s">
        <v>5</v>
      </c>
      <c r="D20" s="6">
        <v>443159.0</v>
      </c>
    </row>
    <row r="21">
      <c r="A21" s="5">
        <v>45749.0</v>
      </c>
      <c r="B21" s="1" t="s">
        <v>22</v>
      </c>
      <c r="C21" s="1" t="s">
        <v>22</v>
      </c>
      <c r="D21" s="6">
        <v>-88632.0</v>
      </c>
    </row>
    <row r="22">
      <c r="A22" s="5">
        <v>45750.0</v>
      </c>
      <c r="B22" s="1" t="s">
        <v>10</v>
      </c>
      <c r="C22" s="1" t="s">
        <v>16</v>
      </c>
      <c r="D22" s="6">
        <v>-155106.0</v>
      </c>
    </row>
    <row r="23">
      <c r="A23" s="5">
        <v>45751.0</v>
      </c>
      <c r="B23" s="1" t="s">
        <v>13</v>
      </c>
      <c r="C23" s="1" t="s">
        <v>16</v>
      </c>
      <c r="D23" s="6">
        <v>-66474.0</v>
      </c>
    </row>
    <row r="24">
      <c r="A24" s="5">
        <v>45752.0</v>
      </c>
      <c r="B24" s="1" t="s">
        <v>15</v>
      </c>
      <c r="C24" s="1" t="s">
        <v>16</v>
      </c>
      <c r="D24" s="6">
        <v>-53179.0</v>
      </c>
    </row>
    <row r="25">
      <c r="A25" s="5">
        <v>45753.0</v>
      </c>
      <c r="B25" s="1" t="s">
        <v>18</v>
      </c>
      <c r="C25" s="1" t="s">
        <v>16</v>
      </c>
      <c r="D25" s="6">
        <v>-681205.0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</cols>
  <sheetData>
    <row r="1">
      <c r="A1" s="1" t="s">
        <v>20</v>
      </c>
      <c r="B1" s="1" t="s">
        <v>1</v>
      </c>
      <c r="C1" s="1" t="s">
        <v>2</v>
      </c>
      <c r="D1" s="1" t="s">
        <v>23</v>
      </c>
    </row>
    <row r="2">
      <c r="A2" s="5">
        <v>45658.0</v>
      </c>
      <c r="B2" s="1" t="s">
        <v>4</v>
      </c>
      <c r="C2" s="1" t="s">
        <v>5</v>
      </c>
      <c r="D2" s="6">
        <v>448000.0</v>
      </c>
    </row>
    <row r="3">
      <c r="A3" s="5">
        <v>45659.0</v>
      </c>
      <c r="B3" s="1" t="s">
        <v>22</v>
      </c>
      <c r="C3" s="1" t="s">
        <v>22</v>
      </c>
      <c r="D3" s="6">
        <v>-93500.0</v>
      </c>
    </row>
    <row r="4">
      <c r="A4" s="5">
        <v>45660.0</v>
      </c>
      <c r="B4" s="1" t="s">
        <v>10</v>
      </c>
      <c r="C4" s="1" t="s">
        <v>16</v>
      </c>
      <c r="D4" s="6">
        <v>-172000.0</v>
      </c>
    </row>
    <row r="5">
      <c r="A5" s="5">
        <v>45661.0</v>
      </c>
      <c r="B5" s="1" t="s">
        <v>13</v>
      </c>
      <c r="C5" s="1" t="s">
        <v>16</v>
      </c>
      <c r="D5" s="6">
        <v>-69800.0</v>
      </c>
    </row>
    <row r="6">
      <c r="A6" s="5">
        <v>45662.0</v>
      </c>
      <c r="B6" s="1" t="s">
        <v>15</v>
      </c>
      <c r="C6" s="1" t="s">
        <v>16</v>
      </c>
      <c r="D6" s="6">
        <v>-56000.0</v>
      </c>
    </row>
    <row r="7">
      <c r="A7" s="5">
        <v>45663.0</v>
      </c>
      <c r="B7" s="1" t="s">
        <v>18</v>
      </c>
      <c r="C7" s="1" t="s">
        <v>16</v>
      </c>
      <c r="D7" s="6">
        <v>-694300.0</v>
      </c>
    </row>
    <row r="8">
      <c r="A8" s="5">
        <v>45689.0</v>
      </c>
      <c r="B8" s="1" t="s">
        <v>4</v>
      </c>
      <c r="C8" s="1" t="s">
        <v>5</v>
      </c>
      <c r="D8" s="6">
        <v>460500.0</v>
      </c>
    </row>
    <row r="9">
      <c r="A9" s="5">
        <v>45690.0</v>
      </c>
      <c r="B9" s="1" t="s">
        <v>22</v>
      </c>
      <c r="C9" s="1" t="s">
        <v>22</v>
      </c>
      <c r="D9" s="6">
        <v>-91200.0</v>
      </c>
    </row>
    <row r="10">
      <c r="A10" s="5">
        <v>45691.0</v>
      </c>
      <c r="B10" s="1" t="s">
        <v>10</v>
      </c>
      <c r="C10" s="1" t="s">
        <v>16</v>
      </c>
      <c r="D10" s="6">
        <v>-165500.0</v>
      </c>
    </row>
    <row r="11">
      <c r="A11" s="5">
        <v>45692.0</v>
      </c>
      <c r="B11" s="1" t="s">
        <v>13</v>
      </c>
      <c r="C11" s="1" t="s">
        <v>16</v>
      </c>
      <c r="D11" s="6">
        <v>-68400.0</v>
      </c>
    </row>
    <row r="12">
      <c r="A12" s="5">
        <v>45693.0</v>
      </c>
      <c r="B12" s="1" t="s">
        <v>15</v>
      </c>
      <c r="C12" s="1" t="s">
        <v>16</v>
      </c>
      <c r="D12" s="6">
        <v>-55100.0</v>
      </c>
    </row>
    <row r="13">
      <c r="A13" s="5">
        <v>45694.0</v>
      </c>
      <c r="B13" s="1" t="s">
        <v>18</v>
      </c>
      <c r="C13" s="1" t="s">
        <v>16</v>
      </c>
      <c r="D13" s="6">
        <v>-668000.0</v>
      </c>
    </row>
    <row r="14">
      <c r="A14" s="5">
        <v>45717.0</v>
      </c>
      <c r="B14" s="1" t="s">
        <v>4</v>
      </c>
      <c r="C14" s="1" t="s">
        <v>5</v>
      </c>
      <c r="D14" s="6">
        <v>442000.0</v>
      </c>
    </row>
    <row r="15">
      <c r="A15" s="5">
        <v>45718.0</v>
      </c>
      <c r="B15" s="1" t="s">
        <v>22</v>
      </c>
      <c r="C15" s="1" t="s">
        <v>22</v>
      </c>
      <c r="D15" s="6">
        <v>-90800.0</v>
      </c>
    </row>
    <row r="16">
      <c r="A16" s="5">
        <v>45719.0</v>
      </c>
      <c r="B16" s="1" t="s">
        <v>10</v>
      </c>
      <c r="C16" s="1" t="s">
        <v>16</v>
      </c>
      <c r="D16" s="6">
        <v>-158900.0</v>
      </c>
    </row>
    <row r="17">
      <c r="A17" s="5">
        <v>45720.0</v>
      </c>
      <c r="B17" s="1" t="s">
        <v>13</v>
      </c>
      <c r="C17" s="1" t="s">
        <v>16</v>
      </c>
      <c r="D17" s="6">
        <v>-66900.0</v>
      </c>
    </row>
    <row r="18">
      <c r="A18" s="5">
        <v>45721.0</v>
      </c>
      <c r="B18" s="1" t="s">
        <v>15</v>
      </c>
      <c r="C18" s="1" t="s">
        <v>16</v>
      </c>
      <c r="D18" s="6">
        <v>-54300.0</v>
      </c>
    </row>
    <row r="19">
      <c r="A19" s="5">
        <v>45722.0</v>
      </c>
      <c r="B19" s="1" t="s">
        <v>18</v>
      </c>
      <c r="C19" s="1" t="s">
        <v>16</v>
      </c>
      <c r="D19" s="6">
        <v>-671900.0</v>
      </c>
    </row>
    <row r="20">
      <c r="A20" s="5">
        <v>45748.0</v>
      </c>
      <c r="B20" s="1" t="s">
        <v>4</v>
      </c>
      <c r="C20" s="1" t="s">
        <v>5</v>
      </c>
      <c r="D20" s="6">
        <v>438200.0</v>
      </c>
    </row>
    <row r="21">
      <c r="A21" s="5">
        <v>45749.0</v>
      </c>
      <c r="B21" s="1" t="s">
        <v>22</v>
      </c>
      <c r="C21" s="1" t="s">
        <v>22</v>
      </c>
      <c r="D21" s="6">
        <v>-90100.0</v>
      </c>
    </row>
    <row r="22">
      <c r="A22" s="5">
        <v>45750.0</v>
      </c>
      <c r="B22" s="1" t="s">
        <v>10</v>
      </c>
      <c r="C22" s="1" t="s">
        <v>16</v>
      </c>
      <c r="D22" s="6">
        <v>-162800.0</v>
      </c>
    </row>
    <row r="23">
      <c r="A23" s="5">
        <v>45751.0</v>
      </c>
      <c r="B23" s="1" t="s">
        <v>13</v>
      </c>
      <c r="C23" s="1" t="s">
        <v>16</v>
      </c>
      <c r="D23" s="6">
        <v>-67900.0</v>
      </c>
    </row>
    <row r="24">
      <c r="A24" s="5">
        <v>45752.0</v>
      </c>
      <c r="B24" s="1" t="s">
        <v>15</v>
      </c>
      <c r="C24" s="1" t="s">
        <v>16</v>
      </c>
      <c r="D24" s="6">
        <v>-55400.0</v>
      </c>
    </row>
    <row r="25">
      <c r="A25" s="5">
        <v>45753.0</v>
      </c>
      <c r="B25" s="1" t="s">
        <v>18</v>
      </c>
      <c r="C25" s="1" t="s">
        <v>16</v>
      </c>
      <c r="D25" s="6">
        <v>-706000.0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7" max="7" width="53.13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>
      <c r="A2" s="5">
        <v>45658.0</v>
      </c>
      <c r="B2" s="1" t="s">
        <v>4</v>
      </c>
      <c r="C2" s="2">
        <f>SUMIFS(Budget_Long!D:D, Budget_Long!A:A, A2, Budget_Long!B:B, B2)
</f>
        <v>456923</v>
      </c>
      <c r="D2" s="2">
        <f>SUMIFS(Actuals_Long!D:D, Actuals_Long!A:A, A2, Actuals_Long!B:B, B2)
</f>
        <v>448000</v>
      </c>
      <c r="E2" s="2">
        <f t="shared" ref="E2:E25" si="1">D2-C2</f>
        <v>-8923</v>
      </c>
      <c r="F2" s="4">
        <f t="shared" ref="F2:F25" si="2">IF(C2=0,"",(D2-C2)/ABS(C2))</f>
        <v>-0.01952845447</v>
      </c>
      <c r="G2" s="1" t="s">
        <v>31</v>
      </c>
    </row>
    <row r="3">
      <c r="A3" s="5">
        <v>45659.0</v>
      </c>
      <c r="B3" s="1" t="s">
        <v>22</v>
      </c>
      <c r="C3" s="2">
        <f>SUMIFS(Budget_Long!D:D, Budget_Long!A:A, A3, Budget_Long!B:B, B3)
</f>
        <v>-91385</v>
      </c>
      <c r="D3" s="2">
        <f>SUMIFS(Actuals_Long!D:D, Actuals_Long!A:A, A3, Actuals_Long!B:B, B3)
</f>
        <v>-93500</v>
      </c>
      <c r="E3" s="2">
        <f t="shared" si="1"/>
        <v>-2115</v>
      </c>
      <c r="F3" s="4">
        <f t="shared" si="2"/>
        <v>-0.02314384199</v>
      </c>
    </row>
    <row r="4">
      <c r="A4" s="5">
        <v>45660.0</v>
      </c>
      <c r="B4" s="1" t="s">
        <v>10</v>
      </c>
      <c r="C4" s="2">
        <f>SUMIFS(Budget_Long!D:D, Budget_Long!A:A, A4, Budget_Long!B:B, B4)
</f>
        <v>-159923</v>
      </c>
      <c r="D4" s="2">
        <f>SUMIFS(Actuals_Long!D:D, Actuals_Long!A:A, A4, Actuals_Long!B:B, B4)
</f>
        <v>-172000</v>
      </c>
      <c r="E4" s="2">
        <f t="shared" si="1"/>
        <v>-12077</v>
      </c>
      <c r="F4" s="4">
        <f t="shared" si="2"/>
        <v>-0.07551759284</v>
      </c>
      <c r="G4" s="1" t="s">
        <v>32</v>
      </c>
    </row>
    <row r="5">
      <c r="A5" s="5">
        <v>45661.0</v>
      </c>
      <c r="B5" s="1" t="s">
        <v>13</v>
      </c>
      <c r="C5" s="2">
        <f>SUMIFS(Budget_Long!D:D, Budget_Long!A:A, A5, Budget_Long!B:B, B5)
</f>
        <v>-68538</v>
      </c>
      <c r="D5" s="2">
        <f>SUMIFS(Actuals_Long!D:D, Actuals_Long!A:A, A5, Actuals_Long!B:B, B5)
</f>
        <v>-69800</v>
      </c>
      <c r="E5" s="2">
        <f t="shared" si="1"/>
        <v>-1262</v>
      </c>
      <c r="F5" s="4">
        <f t="shared" si="2"/>
        <v>-0.01841314307</v>
      </c>
    </row>
    <row r="6">
      <c r="A6" s="5">
        <v>45662.0</v>
      </c>
      <c r="B6" s="1" t="s">
        <v>15</v>
      </c>
      <c r="C6" s="2">
        <f>SUMIFS(Budget_Long!D:D, Budget_Long!A:A, A6, Budget_Long!B:B, B6)
</f>
        <v>-54831</v>
      </c>
      <c r="D6" s="2">
        <f>SUMIFS(Actuals_Long!D:D, Actuals_Long!A:A, A6, Actuals_Long!B:B, B6)
</f>
        <v>-56000</v>
      </c>
      <c r="E6" s="2">
        <f t="shared" si="1"/>
        <v>-1169</v>
      </c>
      <c r="F6" s="4">
        <f t="shared" si="2"/>
        <v>-0.02132005617</v>
      </c>
    </row>
    <row r="7">
      <c r="A7" s="5">
        <v>45663.0</v>
      </c>
      <c r="B7" s="1" t="s">
        <v>18</v>
      </c>
      <c r="C7" s="2">
        <f>SUMIFS(Budget_Long!D:D, Budget_Long!A:A, A7, Budget_Long!B:B, B7)
</f>
        <v>-648792</v>
      </c>
      <c r="D7" s="2">
        <f>SUMIFS(Actuals_Long!D:D, Actuals_Long!A:A, A7, Actuals_Long!B:B, B7)
</f>
        <v>-694300</v>
      </c>
      <c r="E7" s="2">
        <f t="shared" si="1"/>
        <v>-45508</v>
      </c>
      <c r="F7" s="4">
        <f t="shared" si="2"/>
        <v>-0.07014266514</v>
      </c>
      <c r="G7" s="1" t="s">
        <v>33</v>
      </c>
    </row>
    <row r="8">
      <c r="A8" s="5">
        <v>45689.0</v>
      </c>
      <c r="B8" s="1" t="s">
        <v>4</v>
      </c>
      <c r="C8" s="2">
        <f>SUMIFS(Budget_Long!D:D, Budget_Long!A:A, A8, Budget_Long!B:B, B8)
</f>
        <v>452111</v>
      </c>
      <c r="D8" s="2">
        <f>SUMIFS(Actuals_Long!D:D, Actuals_Long!A:A, A8, Actuals_Long!B:B, B8)
</f>
        <v>460500</v>
      </c>
      <c r="E8" s="2">
        <f t="shared" si="1"/>
        <v>8389</v>
      </c>
      <c r="F8" s="4">
        <f t="shared" si="2"/>
        <v>0.01855517782</v>
      </c>
      <c r="G8" s="1" t="s">
        <v>34</v>
      </c>
    </row>
    <row r="9">
      <c r="A9" s="5">
        <v>45690.0</v>
      </c>
      <c r="B9" s="1" t="s">
        <v>22</v>
      </c>
      <c r="C9" s="2">
        <f>SUMIFS(Budget_Long!D:D, Budget_Long!A:A, A9, Budget_Long!B:B, B9)
</f>
        <v>-90422</v>
      </c>
      <c r="D9" s="2">
        <f>SUMIFS(Actuals_Long!D:D, Actuals_Long!A:A, A9, Actuals_Long!B:B, B9)
</f>
        <v>-91200</v>
      </c>
      <c r="E9" s="2">
        <f t="shared" si="1"/>
        <v>-778</v>
      </c>
      <c r="F9" s="4">
        <f t="shared" si="2"/>
        <v>-0.008604100772</v>
      </c>
    </row>
    <row r="10">
      <c r="A10" s="5">
        <v>45691.0</v>
      </c>
      <c r="B10" s="1" t="s">
        <v>10</v>
      </c>
      <c r="C10" s="2">
        <f>SUMIFS(Budget_Long!D:D, Budget_Long!A:A, A10, Budget_Long!B:B, B10)
</f>
        <v>-158239</v>
      </c>
      <c r="D10" s="2">
        <f>SUMIFS(Actuals_Long!D:D, Actuals_Long!A:A, A10, Actuals_Long!B:B, B10)
</f>
        <v>-165500</v>
      </c>
      <c r="E10" s="2">
        <f t="shared" si="1"/>
        <v>-7261</v>
      </c>
      <c r="F10" s="4">
        <f t="shared" si="2"/>
        <v>-0.04588628593</v>
      </c>
      <c r="G10" s="1" t="s">
        <v>35</v>
      </c>
    </row>
    <row r="11">
      <c r="A11" s="5">
        <v>45692.0</v>
      </c>
      <c r="B11" s="1" t="s">
        <v>13</v>
      </c>
      <c r="C11" s="2">
        <f>SUMIFS(Budget_Long!D:D, Budget_Long!A:A, A11, Budget_Long!B:B, B11)
</f>
        <v>-67817</v>
      </c>
      <c r="D11" s="2">
        <f>SUMIFS(Actuals_Long!D:D, Actuals_Long!A:A, A11, Actuals_Long!B:B, B11)
</f>
        <v>-68400</v>
      </c>
      <c r="E11" s="2">
        <f t="shared" si="1"/>
        <v>-583</v>
      </c>
      <c r="F11" s="4">
        <f t="shared" si="2"/>
        <v>-0.008596664553</v>
      </c>
    </row>
    <row r="12">
      <c r="A12" s="5">
        <v>45693.0</v>
      </c>
      <c r="B12" s="1" t="s">
        <v>15</v>
      </c>
      <c r="C12" s="2">
        <f>SUMIFS(Budget_Long!D:D, Budget_Long!A:A, A12, Budget_Long!B:B, B12)
</f>
        <v>-54253</v>
      </c>
      <c r="D12" s="2">
        <f>SUMIFS(Actuals_Long!D:D, Actuals_Long!A:A, A12, Actuals_Long!B:B, B12)
</f>
        <v>-55100</v>
      </c>
      <c r="E12" s="2">
        <f t="shared" si="1"/>
        <v>-847</v>
      </c>
      <c r="F12" s="4">
        <f t="shared" si="2"/>
        <v>-0.01561203989</v>
      </c>
    </row>
    <row r="13">
      <c r="A13" s="5">
        <v>45694.0</v>
      </c>
      <c r="B13" s="1" t="s">
        <v>18</v>
      </c>
      <c r="C13" s="2">
        <f>SUMIFS(Budget_Long!D:D, Budget_Long!A:A, A13, Budget_Long!B:B, B13)
</f>
        <v>-648937</v>
      </c>
      <c r="D13" s="2">
        <f>SUMIFS(Actuals_Long!D:D, Actuals_Long!A:A, A13, Actuals_Long!B:B, B13)
</f>
        <v>-668000</v>
      </c>
      <c r="E13" s="2">
        <f t="shared" si="1"/>
        <v>-19063</v>
      </c>
      <c r="F13" s="4">
        <f t="shared" si="2"/>
        <v>-0.02937573293</v>
      </c>
      <c r="G13" s="1" t="s">
        <v>36</v>
      </c>
    </row>
    <row r="14">
      <c r="A14" s="5">
        <v>45717.0</v>
      </c>
      <c r="B14" s="1" t="s">
        <v>4</v>
      </c>
      <c r="C14" s="2">
        <f>SUMIFS(Budget_Long!D:D, Budget_Long!A:A, A14, Budget_Long!B:B, B14)
</f>
        <v>447686</v>
      </c>
      <c r="D14" s="2">
        <f>SUMIFS(Actuals_Long!D:D, Actuals_Long!A:A, A14, Actuals_Long!B:B, B14)
</f>
        <v>442000</v>
      </c>
      <c r="E14" s="2">
        <f t="shared" si="1"/>
        <v>-5686</v>
      </c>
      <c r="F14" s="4">
        <f t="shared" si="2"/>
        <v>-0.01270086623</v>
      </c>
    </row>
    <row r="15">
      <c r="A15" s="5">
        <v>45718.0</v>
      </c>
      <c r="B15" s="1" t="s">
        <v>22</v>
      </c>
      <c r="C15" s="2">
        <f>SUMIFS(Budget_Long!D:D, Budget_Long!A:A, A15, Budget_Long!B:B, B15)
</f>
        <v>-89537</v>
      </c>
      <c r="D15" s="2">
        <f>SUMIFS(Actuals_Long!D:D, Actuals_Long!A:A, A15, Actuals_Long!B:B, B15)
</f>
        <v>-90800</v>
      </c>
      <c r="E15" s="2">
        <f t="shared" si="1"/>
        <v>-1263</v>
      </c>
      <c r="F15" s="4">
        <f t="shared" si="2"/>
        <v>-0.01410590035</v>
      </c>
    </row>
    <row r="16">
      <c r="A16" s="5">
        <v>45719.0</v>
      </c>
      <c r="B16" s="1" t="s">
        <v>10</v>
      </c>
      <c r="C16" s="2">
        <f>SUMIFS(Budget_Long!D:D, Budget_Long!A:A, A16, Budget_Long!B:B, B16)
</f>
        <v>-156690</v>
      </c>
      <c r="D16" s="2">
        <f>SUMIFS(Actuals_Long!D:D, Actuals_Long!A:A, A16, Actuals_Long!B:B, B16)
</f>
        <v>-158900</v>
      </c>
      <c r="E16" s="2">
        <f t="shared" si="1"/>
        <v>-2210</v>
      </c>
      <c r="F16" s="4">
        <f t="shared" si="2"/>
        <v>-0.01410428234</v>
      </c>
    </row>
    <row r="17">
      <c r="A17" s="5">
        <v>45720.0</v>
      </c>
      <c r="B17" s="1" t="s">
        <v>13</v>
      </c>
      <c r="C17" s="2">
        <f>SUMIFS(Budget_Long!D:D, Budget_Long!A:A, A17, Budget_Long!B:B, B17)
</f>
        <v>-67153</v>
      </c>
      <c r="D17" s="2">
        <f>SUMIFS(Actuals_Long!D:D, Actuals_Long!A:A, A17, Actuals_Long!B:B, B17)
</f>
        <v>-66900</v>
      </c>
      <c r="E17" s="2">
        <f t="shared" si="1"/>
        <v>253</v>
      </c>
      <c r="F17" s="4">
        <f t="shared" si="2"/>
        <v>0.003767515971</v>
      </c>
    </row>
    <row r="18">
      <c r="A18" s="5">
        <v>45721.0</v>
      </c>
      <c r="B18" s="1" t="s">
        <v>15</v>
      </c>
      <c r="C18" s="2">
        <f>SUMIFS(Budget_Long!D:D, Budget_Long!A:A, A18, Budget_Long!B:B, B18)
</f>
        <v>-53722</v>
      </c>
      <c r="D18" s="2">
        <f>SUMIFS(Actuals_Long!D:D, Actuals_Long!A:A, A18, Actuals_Long!B:B, B18)
</f>
        <v>-54300</v>
      </c>
      <c r="E18" s="2">
        <f t="shared" si="1"/>
        <v>-578</v>
      </c>
      <c r="F18" s="4">
        <f t="shared" si="2"/>
        <v>-0.01075909311</v>
      </c>
    </row>
    <row r="19">
      <c r="A19" s="5">
        <v>45722.0</v>
      </c>
      <c r="B19" s="1" t="s">
        <v>18</v>
      </c>
      <c r="C19" s="2">
        <f>SUMIFS(Budget_Long!D:D, Budget_Long!A:A, A19, Budget_Long!B:B, B19)
</f>
        <v>-649069</v>
      </c>
      <c r="D19" s="2">
        <f>SUMIFS(Actuals_Long!D:D, Actuals_Long!A:A, A19, Actuals_Long!B:B, B19)
</f>
        <v>-671900</v>
      </c>
      <c r="E19" s="2">
        <f t="shared" si="1"/>
        <v>-22831</v>
      </c>
      <c r="F19" s="4">
        <f t="shared" si="2"/>
        <v>-0.0351749968</v>
      </c>
    </row>
    <row r="20">
      <c r="A20" s="5">
        <v>45748.0</v>
      </c>
      <c r="B20" s="1" t="s">
        <v>4</v>
      </c>
      <c r="C20" s="2">
        <f>SUMIFS(Budget_Long!D:D, Budget_Long!A:A, A20, Budget_Long!B:B, B20)
</f>
        <v>443159</v>
      </c>
      <c r="D20" s="2">
        <f>SUMIFS(Actuals_Long!D:D, Actuals_Long!A:A, A20, Actuals_Long!B:B, B20)
</f>
        <v>438200</v>
      </c>
      <c r="E20" s="2">
        <f t="shared" si="1"/>
        <v>-4959</v>
      </c>
      <c r="F20" s="4">
        <f t="shared" si="2"/>
        <v>-0.01119011461</v>
      </c>
      <c r="G20" s="1" t="s">
        <v>37</v>
      </c>
    </row>
    <row r="21">
      <c r="A21" s="5">
        <v>45749.0</v>
      </c>
      <c r="B21" s="1" t="s">
        <v>22</v>
      </c>
      <c r="C21" s="2">
        <f>SUMIFS(Budget_Long!D:D, Budget_Long!A:A, A21, Budget_Long!B:B, B21)
</f>
        <v>-88632</v>
      </c>
      <c r="D21" s="2">
        <f>SUMIFS(Actuals_Long!D:D, Actuals_Long!A:A, A21, Actuals_Long!B:B, B21)
</f>
        <v>-90100</v>
      </c>
      <c r="E21" s="2">
        <f t="shared" si="1"/>
        <v>-1468</v>
      </c>
      <c r="F21" s="4">
        <f t="shared" si="2"/>
        <v>-0.01656286668</v>
      </c>
    </row>
    <row r="22">
      <c r="A22" s="5">
        <v>45750.0</v>
      </c>
      <c r="B22" s="1" t="s">
        <v>10</v>
      </c>
      <c r="C22" s="2">
        <f>SUMIFS(Budget_Long!D:D, Budget_Long!A:A, A22, Budget_Long!B:B, B22)
</f>
        <v>-155106</v>
      </c>
      <c r="D22" s="2">
        <f>SUMIFS(Actuals_Long!D:D, Actuals_Long!A:A, A22, Actuals_Long!B:B, B22)
</f>
        <v>-162800</v>
      </c>
      <c r="E22" s="2">
        <f t="shared" si="1"/>
        <v>-7694</v>
      </c>
      <c r="F22" s="4">
        <f t="shared" si="2"/>
        <v>-0.0496047864</v>
      </c>
      <c r="G22" s="1" t="s">
        <v>38</v>
      </c>
    </row>
    <row r="23">
      <c r="A23" s="5">
        <v>45751.0</v>
      </c>
      <c r="B23" s="1" t="s">
        <v>13</v>
      </c>
      <c r="C23" s="2">
        <f>SUMIFS(Budget_Long!D:D, Budget_Long!A:A, A23, Budget_Long!B:B, B23)
</f>
        <v>-66474</v>
      </c>
      <c r="D23" s="2">
        <f>SUMIFS(Actuals_Long!D:D, Actuals_Long!A:A, A23, Actuals_Long!B:B, B23)
</f>
        <v>-67900</v>
      </c>
      <c r="E23" s="2">
        <f t="shared" si="1"/>
        <v>-1426</v>
      </c>
      <c r="F23" s="4">
        <f t="shared" si="2"/>
        <v>-0.02145199627</v>
      </c>
    </row>
    <row r="24">
      <c r="A24" s="5">
        <v>45752.0</v>
      </c>
      <c r="B24" s="1" t="s">
        <v>15</v>
      </c>
      <c r="C24" s="2">
        <f>SUMIFS(Budget_Long!D:D, Budget_Long!A:A, A24, Budget_Long!B:B, B24)
</f>
        <v>-53179</v>
      </c>
      <c r="D24" s="2">
        <f>SUMIFS(Actuals_Long!D:D, Actuals_Long!A:A, A24, Actuals_Long!B:B, B24)
</f>
        <v>-55400</v>
      </c>
      <c r="E24" s="2">
        <f t="shared" si="1"/>
        <v>-2221</v>
      </c>
      <c r="F24" s="4">
        <f t="shared" si="2"/>
        <v>-0.04176460633</v>
      </c>
    </row>
    <row r="25">
      <c r="A25" s="5">
        <v>45753.0</v>
      </c>
      <c r="B25" s="1" t="s">
        <v>18</v>
      </c>
      <c r="C25" s="2">
        <f>SUMIFS(Budget_Long!D:D, Budget_Long!A:A, A25, Budget_Long!B:B, B25)
</f>
        <v>-681205</v>
      </c>
      <c r="D25" s="2">
        <f>SUMIFS(Actuals_Long!D:D, Actuals_Long!A:A, A25, Actuals_Long!B:B, B25)
</f>
        <v>-706000</v>
      </c>
      <c r="E25" s="2">
        <f t="shared" si="1"/>
        <v>-24795</v>
      </c>
      <c r="F25" s="4">
        <f t="shared" si="2"/>
        <v>-0.0363987346</v>
      </c>
      <c r="G25" s="1" t="s">
        <v>39</v>
      </c>
    </row>
  </sheetData>
  <conditionalFormatting sqref="F2:F25">
    <cfRule type="cellIs" dxfId="0" priority="1" operator="lessThan">
      <formula>0</formula>
    </cfRule>
  </conditionalFormatting>
  <conditionalFormatting sqref="F2:F25">
    <cfRule type="cellIs" dxfId="1" priority="2" operator="greaterThan">
      <formula>0</formula>
    </cfRule>
  </conditionalFormatting>
  <conditionalFormatting sqref="E2:E25">
    <cfRule type="cellIs" dxfId="1" priority="3" operator="greaterThan">
      <formula>0</formula>
    </cfRule>
  </conditionalFormatting>
  <conditionalFormatting sqref="E2:E25">
    <cfRule type="cellIs" dxfId="1" priority="4" operator="greaterThan">
      <formula>0</formula>
    </cfRule>
  </conditionalFormatting>
  <conditionalFormatting sqref="E2:E25">
    <cfRule type="cellIs" dxfId="0" priority="5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75"/>
    <col customWidth="1" min="3" max="3" width="17.0"/>
    <col customWidth="1" min="4" max="4" width="13.88"/>
    <col customWidth="1" min="5" max="5" width="16.25"/>
  </cols>
  <sheetData>
    <row r="1">
      <c r="A1" s="1" t="s">
        <v>20</v>
      </c>
      <c r="B1" s="1" t="s">
        <v>40</v>
      </c>
      <c r="C1" s="1" t="s">
        <v>41</v>
      </c>
      <c r="D1" s="1" t="s">
        <v>42</v>
      </c>
      <c r="E1" s="1" t="s">
        <v>43</v>
      </c>
    </row>
    <row r="2">
      <c r="A2" s="5">
        <v>45658.0</v>
      </c>
      <c r="B2" s="2" t="str">
        <f t="shared" ref="B2:B5" si="1">TEXTJOIN(" ", TRUE,
  "Revenue was",
  IF(C2&gt;0,"above","below"),
  "plan by",
  TEXT(ABS(C2),"0.0%")&amp;".",
  "Sales &amp; Marketing spend was",
  IF(D2&lt;0,"above","below"),
  "budget by",
  TEXT(ABS(D2),"0.0%")&amp;".",
  "EBITDA was",
  IF(E2&lt;0,"below","above"),
  "plan by",
  TEXT(ABS(E2),"0.0%")&amp;"."
)
</f>
        <v>Revenue was below plan by 2.0%. Sales &amp; Marketing spend was above budget by 7.6%. EBITDA was below plan by 7.0%.</v>
      </c>
      <c r="C2" s="4">
        <f>Variance_Calc!F2</f>
        <v>-0.01952845447</v>
      </c>
      <c r="D2" s="4">
        <f>Variance_Calc!F4</f>
        <v>-0.07551759284</v>
      </c>
      <c r="E2" s="4">
        <f>Variance_Calc!F7</f>
        <v>-0.07014266514</v>
      </c>
    </row>
    <row r="3">
      <c r="A3" s="5">
        <v>45689.0</v>
      </c>
      <c r="B3" s="2" t="str">
        <f t="shared" si="1"/>
        <v>Revenue was above plan by 1.9%. Sales &amp; Marketing spend was above budget by 4.6%. EBITDA was below plan by 2.9%.</v>
      </c>
      <c r="C3" s="4">
        <f>Variance_Calc!F8</f>
        <v>0.01855517782</v>
      </c>
      <c r="D3" s="4">
        <f>Variance_Calc!F10</f>
        <v>-0.04588628593</v>
      </c>
      <c r="E3" s="4">
        <f>Variance_Calc!F13</f>
        <v>-0.02937573293</v>
      </c>
    </row>
    <row r="4">
      <c r="A4" s="5">
        <v>45717.0</v>
      </c>
      <c r="B4" s="2" t="str">
        <f t="shared" si="1"/>
        <v>Revenue was below plan by 1.3%. Sales &amp; Marketing spend was above budget by 1.4%. EBITDA was below plan by 3.5%.</v>
      </c>
      <c r="C4" s="4">
        <f>Variance_Calc!F14</f>
        <v>-0.01270086623</v>
      </c>
      <c r="D4" s="4">
        <f>Variance_Calc!F16</f>
        <v>-0.01410428234</v>
      </c>
      <c r="E4" s="4">
        <f>Variance_Calc!F19</f>
        <v>-0.0351749968</v>
      </c>
    </row>
    <row r="5">
      <c r="A5" s="5">
        <v>45748.0</v>
      </c>
      <c r="B5" s="2" t="str">
        <f t="shared" si="1"/>
        <v>Revenue was below plan by 1.1%. Sales &amp; Marketing spend was above budget by 5.0%. EBITDA was below plan by 3.6%.</v>
      </c>
      <c r="C5" s="4">
        <f>Variance_Calc!F20</f>
        <v>-0.01119011461</v>
      </c>
      <c r="D5" s="4">
        <f>Variance_Calc!F22</f>
        <v>-0.0496047864</v>
      </c>
      <c r="E5" s="4">
        <f>Variance_Calc!F25</f>
        <v>-0.0363987346</v>
      </c>
    </row>
  </sheetData>
  <drawing r:id="rId1"/>
</worksheet>
</file>